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CN-OCR\"/>
    </mc:Choice>
  </mc:AlternateContent>
  <bookViews>
    <workbookView xWindow="0" yWindow="0" windowWidth="23040" windowHeight="9192" tabRatio="773"/>
  </bookViews>
  <sheets>
    <sheet name="Data" sheetId="20" r:id="rId1"/>
    <sheet name="Sheet1" sheetId="34" r:id="rId2"/>
    <sheet name="HuongDan" sheetId="19" r:id="rId3"/>
    <sheet name="TT DO DAC" sheetId="33" r:id="rId4"/>
    <sheet name="PhanLoaiThua" sheetId="32" r:id="rId5"/>
    <sheet name="DM_NguonGocSuDungDat" sheetId="21" r:id="rId6"/>
    <sheet name="DM_DoiTuongSuDungQuanLy" sheetId="11" r:id="rId7"/>
    <sheet name="DM_LoaiDat" sheetId="23" r:id="rId8"/>
    <sheet name="MaXa_3cap_2cap" sheetId="31" r:id="rId9"/>
    <sheet name="ChungCu_NhaTapThe" sheetId="13" r:id="rId10"/>
    <sheet name="DM_DanToc" sheetId="8" r:id="rId11"/>
    <sheet name="DM_QuocTich" sheetId="22" r:id="rId12"/>
    <sheet name="DM_LoaiTaiSan" sheetId="24" r:id="rId13"/>
    <sheet name="DM_LoaiCapHang" sheetId="25" r:id="rId14"/>
    <sheet name="DM_LoaiDoiTuong" sheetId="29" r:id="rId15"/>
    <sheet name="DM_LoaiGiayToTuyThan" sheetId="9" r:id="rId16"/>
    <sheet name="DM_LoaiBanDoDiaChinh" sheetId="10" r:id="rId17"/>
    <sheet name="DM_LoaiGiayChungNhan" sheetId="6" r:id="rId18"/>
    <sheet name="DM_LoaiTrangThaiDangKyCapGCN" sheetId="12" r:id="rId19"/>
    <sheet name="DM_LoaiThuaDat" sheetId="26" r:id="rId20"/>
    <sheet name="DM_LoaiNghiaVuTaiChinh" sheetId="5" r:id="rId21"/>
    <sheet name="LoaiHanChe" sheetId="17" r:id="rId22"/>
  </sheets>
  <definedNames>
    <definedName name="_xlnm._FilterDatabase" localSheetId="9" hidden="1">ChungCu_NhaTapThe!$A$4:$CX$4</definedName>
    <definedName name="_xlnm._FilterDatabase" localSheetId="0" hidden="1">Data!$A$4:$GF$43</definedName>
    <definedName name="_xlnm._FilterDatabase" localSheetId="2" hidden="1">HuongDan!$A$2:$P$184</definedName>
    <definedName name="_xlnm._FilterDatabase" localSheetId="8" hidden="1">MaXa_3cap_2cap!$A$1:$K$185</definedName>
    <definedName name="_xlnm._FilterDatabase" localSheetId="3" hidden="1">'TT DO DAC'!$A$1:$G$199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D43" i="20" l="1"/>
  <c r="BD44" i="20"/>
  <c r="BD46" i="20"/>
  <c r="BD47" i="20"/>
  <c r="BD48" i="20"/>
  <c r="BC43" i="20"/>
  <c r="BC44" i="20"/>
  <c r="BC46" i="20"/>
  <c r="BC47" i="20"/>
  <c r="BC48" i="20"/>
  <c r="AX43" i="20"/>
  <c r="AX44" i="20"/>
  <c r="AX46" i="20"/>
  <c r="AX47" i="20"/>
  <c r="AX48" i="20"/>
  <c r="AU43" i="20"/>
  <c r="AU44" i="20"/>
  <c r="AU46" i="20"/>
  <c r="AU47" i="20"/>
  <c r="AU48" i="20"/>
  <c r="AU40" i="20"/>
  <c r="AK43" i="20"/>
  <c r="AK44" i="20"/>
  <c r="AK46" i="20"/>
  <c r="AK47" i="20"/>
  <c r="AK48" i="20"/>
  <c r="T43" i="20"/>
  <c r="T44" i="20"/>
  <c r="T46" i="20"/>
  <c r="T47" i="20"/>
  <c r="T48" i="20"/>
  <c r="C42" i="20"/>
  <c r="C43" i="20"/>
  <c r="C44" i="20"/>
  <c r="BD40" i="20"/>
  <c r="BD41" i="20"/>
  <c r="BC40" i="20"/>
  <c r="BC41" i="20"/>
  <c r="AX40" i="20"/>
  <c r="AX41" i="20"/>
  <c r="AU41" i="20"/>
  <c r="AK40" i="20"/>
  <c r="AK41" i="20"/>
  <c r="AK6" i="20"/>
  <c r="AK7" i="20"/>
  <c r="AK8" i="20"/>
  <c r="AK10" i="20"/>
  <c r="AK11" i="20"/>
  <c r="AK12" i="20"/>
  <c r="AK13" i="20"/>
  <c r="AK15" i="20"/>
  <c r="AK16" i="20"/>
  <c r="AK17" i="20"/>
  <c r="AK18" i="20"/>
  <c r="AK20" i="20"/>
  <c r="AK21" i="20"/>
  <c r="AK22" i="20"/>
  <c r="AK23" i="20"/>
  <c r="AK25" i="20"/>
  <c r="AK26" i="20"/>
  <c r="AK27" i="20"/>
  <c r="AK28" i="20"/>
  <c r="AK29" i="20"/>
  <c r="AK31" i="20"/>
  <c r="AK32" i="20"/>
  <c r="AK33" i="20"/>
  <c r="AK34" i="20"/>
  <c r="AK36" i="20"/>
  <c r="AK37" i="20"/>
  <c r="AK38" i="20"/>
  <c r="AK5" i="20"/>
  <c r="T40" i="20"/>
  <c r="T41" i="20"/>
  <c r="T31" i="20"/>
  <c r="T32" i="20"/>
  <c r="T33" i="20"/>
  <c r="T34" i="20"/>
  <c r="T36" i="20"/>
  <c r="T37" i="20"/>
  <c r="T38" i="20"/>
  <c r="C39" i="20"/>
  <c r="C40" i="20"/>
  <c r="C41" i="20"/>
  <c r="BJ36" i="20"/>
  <c r="BJ37" i="20"/>
  <c r="BJ38" i="20"/>
  <c r="BC36" i="20"/>
  <c r="BD36" i="20" s="1"/>
  <c r="BC37" i="20"/>
  <c r="BD37" i="20" s="1"/>
  <c r="BC38" i="20"/>
  <c r="BD38" i="20" s="1"/>
  <c r="AX36" i="20"/>
  <c r="AX37" i="20"/>
  <c r="AX38" i="20"/>
  <c r="AU36" i="20"/>
  <c r="AU37" i="20"/>
  <c r="AU38" i="20"/>
  <c r="C35" i="20"/>
  <c r="C36" i="20"/>
  <c r="C37" i="20"/>
  <c r="C38" i="20"/>
  <c r="BJ31" i="20"/>
  <c r="BJ32" i="20"/>
  <c r="BJ33" i="20"/>
  <c r="BJ34" i="20"/>
  <c r="BC31" i="20"/>
  <c r="BD31" i="20" s="1"/>
  <c r="BC32" i="20"/>
  <c r="BD32" i="20" s="1"/>
  <c r="BC33" i="20"/>
  <c r="BD33" i="20" s="1"/>
  <c r="BC34" i="20"/>
  <c r="BD34" i="20" s="1"/>
  <c r="AX31" i="20"/>
  <c r="AX32" i="20"/>
  <c r="AX33" i="20"/>
  <c r="AX34" i="20"/>
  <c r="AU31" i="20"/>
  <c r="AU32" i="20"/>
  <c r="AU33" i="20"/>
  <c r="AU34" i="20"/>
  <c r="C30" i="20"/>
  <c r="C31" i="20"/>
  <c r="C32" i="20"/>
  <c r="C33" i="20"/>
  <c r="C34" i="20"/>
  <c r="BJ25" i="20"/>
  <c r="BJ26" i="20"/>
  <c r="BJ27" i="20"/>
  <c r="BJ28" i="20"/>
  <c r="BJ29" i="20"/>
  <c r="BC25" i="20"/>
  <c r="BD25" i="20" s="1"/>
  <c r="BC26" i="20"/>
  <c r="BD26" i="20" s="1"/>
  <c r="BC27" i="20"/>
  <c r="BD27" i="20" s="1"/>
  <c r="BC28" i="20"/>
  <c r="BD28" i="20" s="1"/>
  <c r="BC29" i="20"/>
  <c r="BD29" i="20" s="1"/>
  <c r="AX25" i="20"/>
  <c r="AX26" i="20"/>
  <c r="AX27" i="20"/>
  <c r="AX28" i="20"/>
  <c r="AX29" i="20"/>
  <c r="AU25" i="20"/>
  <c r="AU26" i="20"/>
  <c r="AU27" i="20"/>
  <c r="AU28" i="20"/>
  <c r="AU29" i="20"/>
  <c r="T25" i="20"/>
  <c r="T26" i="20"/>
  <c r="T27" i="20"/>
  <c r="T28" i="20"/>
  <c r="T29" i="20"/>
  <c r="C29" i="20"/>
  <c r="C24" i="20"/>
  <c r="C25" i="20"/>
  <c r="C26" i="20"/>
  <c r="C27" i="20"/>
  <c r="C28" i="20"/>
  <c r="BJ23" i="20"/>
  <c r="BJ22" i="20"/>
  <c r="BJ21" i="20"/>
  <c r="BJ20" i="20"/>
  <c r="BC20" i="20"/>
  <c r="BD20" i="20" s="1"/>
  <c r="BC21" i="20"/>
  <c r="BD21" i="20" s="1"/>
  <c r="BC22" i="20"/>
  <c r="BD22" i="20" s="1"/>
  <c r="BC23" i="20"/>
  <c r="BD23" i="20" s="1"/>
  <c r="AX20" i="20"/>
  <c r="AX21" i="20"/>
  <c r="AX22" i="20"/>
  <c r="AX23" i="20"/>
  <c r="AU20" i="20"/>
  <c r="AU21" i="20"/>
  <c r="AU22" i="20"/>
  <c r="AU23" i="20"/>
  <c r="T20" i="20"/>
  <c r="T21" i="20"/>
  <c r="T22" i="20"/>
  <c r="T23" i="20"/>
  <c r="C19" i="20"/>
  <c r="C20" i="20"/>
  <c r="C21" i="20"/>
  <c r="C22" i="20"/>
  <c r="C23" i="20"/>
  <c r="BJ15" i="20"/>
  <c r="BJ16" i="20"/>
  <c r="BJ17" i="20"/>
  <c r="BJ18" i="20"/>
  <c r="BC15" i="20"/>
  <c r="BD15" i="20" s="1"/>
  <c r="BC16" i="20"/>
  <c r="BD16" i="20" s="1"/>
  <c r="BC17" i="20"/>
  <c r="BD17" i="20" s="1"/>
  <c r="BC18" i="20"/>
  <c r="BD18" i="20" s="1"/>
  <c r="AX15" i="20"/>
  <c r="AX16" i="20"/>
  <c r="AX17" i="20"/>
  <c r="AX18" i="20"/>
  <c r="AU15" i="20"/>
  <c r="AU16" i="20"/>
  <c r="AU17" i="20"/>
  <c r="AU18" i="20"/>
  <c r="T15" i="20"/>
  <c r="T16" i="20"/>
  <c r="T17" i="20"/>
  <c r="T18" i="20"/>
  <c r="C16" i="20"/>
  <c r="C17" i="20"/>
  <c r="C18" i="20"/>
  <c r="BJ10" i="20"/>
  <c r="BJ11" i="20"/>
  <c r="BJ12" i="20"/>
  <c r="BJ13" i="20"/>
  <c r="AU10" i="20"/>
  <c r="AU11" i="20"/>
  <c r="AU12" i="20"/>
  <c r="AU13" i="20"/>
  <c r="BC10" i="20"/>
  <c r="BD10" i="20" s="1"/>
  <c r="BC11" i="20"/>
  <c r="BD11" i="20" s="1"/>
  <c r="BC12" i="20"/>
  <c r="BD12" i="20" s="1"/>
  <c r="BC13" i="20"/>
  <c r="BD13" i="20" s="1"/>
  <c r="BC8" i="20"/>
  <c r="BD8" i="20" s="1"/>
  <c r="T10" i="20"/>
  <c r="T11" i="20"/>
  <c r="T12" i="20"/>
  <c r="T13" i="20"/>
  <c r="C11" i="20"/>
  <c r="C12" i="20"/>
  <c r="C13" i="20"/>
  <c r="C10" i="20"/>
  <c r="C15" i="20"/>
  <c r="BJ6" i="20" l="1"/>
  <c r="BJ7" i="20"/>
  <c r="BJ8" i="20"/>
  <c r="BJ5" i="20"/>
  <c r="B199" i="33"/>
  <c r="A199" i="33"/>
  <c r="B198" i="33"/>
  <c r="A198" i="33"/>
  <c r="B197" i="33"/>
  <c r="A197" i="33"/>
  <c r="B196" i="33"/>
  <c r="A196" i="33"/>
  <c r="B195" i="33"/>
  <c r="A195" i="33"/>
  <c r="B194" i="33"/>
  <c r="A194" i="33"/>
  <c r="B193" i="33"/>
  <c r="A193" i="33"/>
  <c r="B192" i="33"/>
  <c r="A192" i="33"/>
  <c r="B191" i="33"/>
  <c r="A191" i="33"/>
  <c r="B190" i="33"/>
  <c r="A190" i="33"/>
  <c r="B189" i="33"/>
  <c r="A189" i="33"/>
  <c r="B188" i="33"/>
  <c r="A188" i="33"/>
  <c r="B187" i="33"/>
  <c r="A187" i="33"/>
  <c r="B186" i="33"/>
  <c r="A186" i="33"/>
  <c r="B185" i="33"/>
  <c r="A185" i="33"/>
  <c r="B184" i="33"/>
  <c r="A184" i="33"/>
  <c r="B183" i="33"/>
  <c r="A183" i="33"/>
  <c r="B182" i="33"/>
  <c r="A182" i="33"/>
  <c r="B181" i="33"/>
  <c r="A181" i="33"/>
  <c r="B180" i="33"/>
  <c r="A180" i="33"/>
  <c r="B179" i="33"/>
  <c r="A179" i="33"/>
  <c r="B178" i="33"/>
  <c r="A178" i="33"/>
  <c r="B177" i="33"/>
  <c r="A177" i="33"/>
  <c r="B176" i="33"/>
  <c r="A176" i="33"/>
  <c r="B175" i="33"/>
  <c r="A175" i="33"/>
  <c r="B174" i="33"/>
  <c r="A174" i="33"/>
  <c r="B173" i="33"/>
  <c r="A173" i="33"/>
  <c r="B172" i="33"/>
  <c r="A172" i="33"/>
  <c r="B171" i="33"/>
  <c r="A171" i="33"/>
  <c r="B170" i="33"/>
  <c r="A170" i="33"/>
  <c r="B169" i="33"/>
  <c r="A169" i="33"/>
  <c r="B168" i="33"/>
  <c r="A168" i="33"/>
  <c r="B167" i="33"/>
  <c r="A167" i="33"/>
  <c r="B166" i="33"/>
  <c r="A166" i="33"/>
  <c r="B165" i="33"/>
  <c r="A165" i="33"/>
  <c r="B164" i="33"/>
  <c r="A164" i="33"/>
  <c r="B163" i="33"/>
  <c r="A163" i="33"/>
  <c r="B162" i="33"/>
  <c r="A162" i="33"/>
  <c r="B161" i="33"/>
  <c r="A161" i="33"/>
  <c r="B160" i="33"/>
  <c r="A160" i="33"/>
  <c r="B159" i="33"/>
  <c r="A159" i="33"/>
  <c r="B158" i="33"/>
  <c r="A158" i="33"/>
  <c r="B157" i="33"/>
  <c r="A157" i="33"/>
  <c r="B156" i="33"/>
  <c r="A156" i="33"/>
  <c r="B155" i="33"/>
  <c r="A155" i="33"/>
  <c r="B154" i="33"/>
  <c r="A154" i="33"/>
  <c r="B153" i="33"/>
  <c r="A153" i="33"/>
  <c r="B152" i="33"/>
  <c r="A152" i="33"/>
  <c r="B151" i="33"/>
  <c r="A151" i="33"/>
  <c r="B150" i="33"/>
  <c r="A150" i="33"/>
  <c r="B149" i="33"/>
  <c r="A149" i="33"/>
  <c r="B148" i="33"/>
  <c r="A148" i="33"/>
  <c r="B147" i="33"/>
  <c r="A147" i="33"/>
  <c r="B146" i="33"/>
  <c r="A146" i="33"/>
  <c r="B145" i="33"/>
  <c r="A145" i="33"/>
  <c r="B144" i="33"/>
  <c r="A144" i="33"/>
  <c r="B143" i="33"/>
  <c r="A143" i="33"/>
  <c r="B142" i="33"/>
  <c r="A142" i="33"/>
  <c r="B141" i="33"/>
  <c r="A141" i="33"/>
  <c r="B140" i="33"/>
  <c r="A140" i="33"/>
  <c r="B139" i="33"/>
  <c r="A139" i="33"/>
  <c r="B138" i="33"/>
  <c r="A138" i="33"/>
  <c r="B137" i="33"/>
  <c r="A137" i="33"/>
  <c r="B136" i="33"/>
  <c r="A136" i="33"/>
  <c r="B135" i="33"/>
  <c r="A135" i="33"/>
  <c r="B134" i="33"/>
  <c r="A134" i="33"/>
  <c r="B133" i="33"/>
  <c r="A133" i="33"/>
  <c r="B132" i="33"/>
  <c r="A132" i="33"/>
  <c r="B131" i="33"/>
  <c r="A131" i="33"/>
  <c r="B130" i="33"/>
  <c r="A130" i="33"/>
  <c r="B129" i="33"/>
  <c r="A129" i="33"/>
  <c r="B128" i="33"/>
  <c r="A128" i="33"/>
  <c r="B127" i="33"/>
  <c r="A127" i="33"/>
  <c r="B126" i="33"/>
  <c r="A126" i="33"/>
  <c r="B125" i="33"/>
  <c r="A125" i="33"/>
  <c r="B124" i="33"/>
  <c r="A124" i="33"/>
  <c r="B123" i="33"/>
  <c r="A123" i="33"/>
  <c r="B122" i="33"/>
  <c r="A122" i="33"/>
  <c r="B121" i="33"/>
  <c r="A121" i="33"/>
  <c r="B120" i="33"/>
  <c r="A120" i="33"/>
  <c r="B119" i="33"/>
  <c r="A119" i="33"/>
  <c r="B118" i="33"/>
  <c r="A118" i="33"/>
  <c r="B117" i="33"/>
  <c r="A117" i="33"/>
  <c r="B116" i="33"/>
  <c r="A116" i="33"/>
  <c r="B115" i="33"/>
  <c r="A115" i="33"/>
  <c r="B114" i="33"/>
  <c r="A114" i="33"/>
  <c r="B113" i="33"/>
  <c r="A113" i="33"/>
  <c r="B112" i="33"/>
  <c r="A112" i="33"/>
  <c r="B111" i="33"/>
  <c r="A111" i="33"/>
  <c r="B110" i="33"/>
  <c r="A110" i="33"/>
  <c r="B109" i="33"/>
  <c r="A109" i="33"/>
  <c r="B108" i="33"/>
  <c r="A108" i="33"/>
  <c r="B107" i="33"/>
  <c r="A107" i="33"/>
  <c r="B106" i="33"/>
  <c r="A106" i="33"/>
  <c r="B105" i="33"/>
  <c r="A105" i="33"/>
  <c r="B104" i="33"/>
  <c r="A104" i="33"/>
  <c r="B103" i="33"/>
  <c r="A103" i="33"/>
  <c r="B102" i="33"/>
  <c r="A102" i="33"/>
  <c r="B101" i="33"/>
  <c r="A101" i="33"/>
  <c r="B100" i="33"/>
  <c r="A100" i="33"/>
  <c r="B99" i="33"/>
  <c r="A99" i="33"/>
  <c r="B98" i="33"/>
  <c r="A98" i="33"/>
  <c r="B97" i="33"/>
  <c r="A97" i="33"/>
  <c r="B96" i="33"/>
  <c r="A96" i="33"/>
  <c r="B95" i="33"/>
  <c r="A95" i="33"/>
  <c r="B94" i="33"/>
  <c r="A94" i="33"/>
  <c r="B93" i="33"/>
  <c r="A93" i="33"/>
  <c r="B92" i="33"/>
  <c r="A92" i="33"/>
  <c r="B91" i="33"/>
  <c r="A91" i="33"/>
  <c r="B90" i="33"/>
  <c r="A90" i="33"/>
  <c r="B89" i="33"/>
  <c r="A89" i="33"/>
  <c r="B88" i="33"/>
  <c r="A88" i="33"/>
  <c r="B87" i="33"/>
  <c r="A87" i="33"/>
  <c r="B86" i="33"/>
  <c r="A86" i="33"/>
  <c r="B85" i="33"/>
  <c r="A85" i="33"/>
  <c r="B84" i="33"/>
  <c r="A84" i="33"/>
  <c r="B83" i="33"/>
  <c r="A83" i="33"/>
  <c r="B82" i="33"/>
  <c r="A82" i="33"/>
  <c r="B81" i="33"/>
  <c r="A81" i="33"/>
  <c r="B80" i="33"/>
  <c r="A80" i="33"/>
  <c r="B79" i="33"/>
  <c r="A79" i="33"/>
  <c r="B78" i="33"/>
  <c r="A78" i="33"/>
  <c r="B77" i="33"/>
  <c r="A77" i="33"/>
  <c r="B76" i="33"/>
  <c r="A76" i="33"/>
  <c r="B75" i="33"/>
  <c r="A75" i="33"/>
  <c r="B74" i="33"/>
  <c r="A74" i="33"/>
  <c r="B73" i="33"/>
  <c r="A73" i="33"/>
  <c r="B72" i="33"/>
  <c r="A72" i="33"/>
  <c r="B71" i="33"/>
  <c r="A71" i="33"/>
  <c r="B70" i="33"/>
  <c r="A70" i="33"/>
  <c r="B69" i="33"/>
  <c r="A69" i="33"/>
  <c r="B68" i="33"/>
  <c r="A68" i="33"/>
  <c r="B67" i="33"/>
  <c r="A67" i="33"/>
  <c r="B66" i="33"/>
  <c r="A66" i="33"/>
  <c r="B65" i="33"/>
  <c r="A65" i="33"/>
  <c r="B64" i="33"/>
  <c r="A64" i="33"/>
  <c r="B63" i="33"/>
  <c r="A63" i="33"/>
  <c r="B62" i="33"/>
  <c r="A62" i="33"/>
  <c r="B61" i="33"/>
  <c r="A61" i="33"/>
  <c r="B60" i="33"/>
  <c r="A60" i="33"/>
  <c r="B59" i="33"/>
  <c r="A59" i="33"/>
  <c r="B58" i="33"/>
  <c r="A58" i="33"/>
  <c r="B57" i="33"/>
  <c r="A57" i="33"/>
  <c r="B56" i="33"/>
  <c r="A56" i="33"/>
  <c r="B55" i="33"/>
  <c r="A55" i="33"/>
  <c r="B54" i="33"/>
  <c r="A54" i="33"/>
  <c r="B53" i="33"/>
  <c r="A53" i="33"/>
  <c r="B52" i="33"/>
  <c r="A52" i="33"/>
  <c r="B51" i="33"/>
  <c r="A51" i="33"/>
  <c r="B50" i="33"/>
  <c r="A50" i="33"/>
  <c r="B49" i="33"/>
  <c r="A49" i="33"/>
  <c r="B48" i="33"/>
  <c r="A48" i="33"/>
  <c r="B47" i="33"/>
  <c r="A47" i="33"/>
  <c r="B46" i="33"/>
  <c r="A46" i="33"/>
  <c r="B45" i="33"/>
  <c r="A45" i="33"/>
  <c r="B44" i="33"/>
  <c r="A44" i="33"/>
  <c r="B43" i="33"/>
  <c r="A43" i="33"/>
  <c r="B42" i="33"/>
  <c r="A42" i="33"/>
  <c r="B41" i="33"/>
  <c r="A41" i="33"/>
  <c r="B40" i="33"/>
  <c r="A40" i="33"/>
  <c r="B39" i="33"/>
  <c r="A39" i="33"/>
  <c r="B38" i="33"/>
  <c r="A38" i="33"/>
  <c r="B37" i="33"/>
  <c r="A37" i="33"/>
  <c r="B36" i="33"/>
  <c r="A36" i="33"/>
  <c r="B35" i="33"/>
  <c r="A35" i="33"/>
  <c r="B34" i="33"/>
  <c r="A34" i="33"/>
  <c r="B33" i="33"/>
  <c r="A33" i="33"/>
  <c r="B32" i="33"/>
  <c r="A32" i="33"/>
  <c r="B31" i="33"/>
  <c r="A31" i="33"/>
  <c r="B30" i="33"/>
  <c r="A30" i="33"/>
  <c r="B29" i="33"/>
  <c r="A29" i="33"/>
  <c r="B28" i="33"/>
  <c r="A28" i="33"/>
  <c r="B27" i="33"/>
  <c r="A27" i="33"/>
  <c r="B26" i="33"/>
  <c r="A26" i="33"/>
  <c r="B25" i="33"/>
  <c r="A25" i="33"/>
  <c r="B24" i="33"/>
  <c r="A24" i="33"/>
  <c r="B23" i="33"/>
  <c r="A23" i="33"/>
  <c r="B22" i="33"/>
  <c r="A22" i="33"/>
  <c r="B21" i="33"/>
  <c r="A21" i="33"/>
  <c r="B20" i="33"/>
  <c r="A20" i="33"/>
  <c r="B19" i="33"/>
  <c r="A19" i="33"/>
  <c r="B18" i="33"/>
  <c r="A18" i="33"/>
  <c r="B17" i="33"/>
  <c r="A17" i="33"/>
  <c r="B16" i="33"/>
  <c r="A16" i="33"/>
  <c r="B15" i="33"/>
  <c r="A15" i="33"/>
  <c r="B14" i="33"/>
  <c r="A14" i="33"/>
  <c r="B13" i="33"/>
  <c r="A13" i="33"/>
  <c r="B12" i="33"/>
  <c r="A12" i="33"/>
  <c r="B11" i="33"/>
  <c r="A11" i="33"/>
  <c r="B10" i="33"/>
  <c r="A10" i="33"/>
  <c r="B9" i="33"/>
  <c r="A9" i="33"/>
  <c r="B8" i="33"/>
  <c r="A8" i="33"/>
  <c r="B7" i="33"/>
  <c r="A7" i="33"/>
  <c r="B6" i="33"/>
  <c r="A6" i="33"/>
  <c r="B5" i="33"/>
  <c r="A5" i="33"/>
  <c r="B4" i="33"/>
  <c r="A4" i="33"/>
  <c r="B3" i="33"/>
  <c r="A3" i="33"/>
  <c r="B2" i="33"/>
  <c r="AX8" i="20" s="1"/>
  <c r="A2" i="33"/>
  <c r="AX5" i="20" l="1"/>
  <c r="AX11" i="20"/>
  <c r="AU5" i="20"/>
  <c r="AX12" i="20"/>
  <c r="AX10" i="20"/>
  <c r="AX13" i="20"/>
  <c r="AX7" i="20"/>
  <c r="AX6" i="20"/>
  <c r="AU8" i="20"/>
  <c r="AU7" i="20"/>
  <c r="AU6" i="20"/>
  <c r="T6" i="20"/>
  <c r="T7" i="20"/>
  <c r="T8" i="20"/>
  <c r="T5" i="20"/>
  <c r="G3" i="31"/>
  <c r="G4" i="31"/>
  <c r="G5" i="31"/>
  <c r="G6" i="31"/>
  <c r="G7" i="31"/>
  <c r="G8" i="31"/>
  <c r="G9" i="31"/>
  <c r="G10" i="31"/>
  <c r="G11" i="31"/>
  <c r="G12" i="31"/>
  <c r="G13" i="31"/>
  <c r="G14" i="31"/>
  <c r="G15" i="31"/>
  <c r="G16" i="31"/>
  <c r="G17" i="31"/>
  <c r="G18" i="31"/>
  <c r="G19" i="31"/>
  <c r="G20" i="31"/>
  <c r="G21" i="31"/>
  <c r="G22" i="31"/>
  <c r="G23" i="31"/>
  <c r="G24" i="31"/>
  <c r="G25" i="31"/>
  <c r="G26" i="31"/>
  <c r="G27" i="31"/>
  <c r="G28" i="31"/>
  <c r="G29" i="31"/>
  <c r="G30" i="31"/>
  <c r="G31" i="31"/>
  <c r="G32" i="31"/>
  <c r="G33" i="31"/>
  <c r="G34" i="31"/>
  <c r="G35" i="31"/>
  <c r="G36" i="31"/>
  <c r="G37" i="31"/>
  <c r="G38" i="31"/>
  <c r="G39" i="31"/>
  <c r="G40" i="31"/>
  <c r="G41" i="31"/>
  <c r="G42" i="31"/>
  <c r="G43" i="31"/>
  <c r="G44" i="31"/>
  <c r="G45" i="31"/>
  <c r="G46" i="31"/>
  <c r="G47" i="31"/>
  <c r="G48" i="31"/>
  <c r="G49" i="31"/>
  <c r="G50" i="31"/>
  <c r="G51" i="31"/>
  <c r="G52" i="31"/>
  <c r="G53" i="31"/>
  <c r="G54" i="31"/>
  <c r="G55" i="31"/>
  <c r="G56" i="31"/>
  <c r="G57" i="31"/>
  <c r="G58" i="31"/>
  <c r="G59" i="31"/>
  <c r="G60" i="31"/>
  <c r="G61" i="31"/>
  <c r="G62" i="31"/>
  <c r="G63" i="31"/>
  <c r="G64" i="31"/>
  <c r="G65" i="31"/>
  <c r="G66" i="31"/>
  <c r="G67" i="31"/>
  <c r="G68" i="31"/>
  <c r="G69" i="31"/>
  <c r="G70" i="31"/>
  <c r="G71" i="31"/>
  <c r="G72" i="31"/>
  <c r="G73" i="31"/>
  <c r="G74" i="31"/>
  <c r="G75" i="31"/>
  <c r="G76" i="31"/>
  <c r="G77" i="31"/>
  <c r="G78" i="31"/>
  <c r="G79" i="31"/>
  <c r="G80" i="31"/>
  <c r="G81" i="31"/>
  <c r="G82" i="31"/>
  <c r="G83" i="31"/>
  <c r="G84" i="31"/>
  <c r="G85" i="31"/>
  <c r="G86" i="31"/>
  <c r="G87" i="31"/>
  <c r="G88" i="31"/>
  <c r="G89" i="31"/>
  <c r="G90" i="31"/>
  <c r="G91" i="31"/>
  <c r="G92" i="31"/>
  <c r="G93" i="31"/>
  <c r="G94" i="31"/>
  <c r="G95" i="31"/>
  <c r="G96" i="31"/>
  <c r="G97" i="31"/>
  <c r="G98" i="31"/>
  <c r="G99" i="31"/>
  <c r="G100" i="31"/>
  <c r="G101" i="31"/>
  <c r="G102" i="31"/>
  <c r="G103" i="31"/>
  <c r="G104" i="31"/>
  <c r="G105" i="31"/>
  <c r="G106" i="31"/>
  <c r="G107" i="31"/>
  <c r="G108" i="31"/>
  <c r="G109" i="31"/>
  <c r="G110" i="31"/>
  <c r="G111" i="31"/>
  <c r="G112" i="31"/>
  <c r="G113" i="31"/>
  <c r="G114" i="31"/>
  <c r="G115" i="31"/>
  <c r="G116" i="31"/>
  <c r="G117" i="31"/>
  <c r="G118" i="31"/>
  <c r="G119" i="31"/>
  <c r="G120" i="31"/>
  <c r="G121" i="31"/>
  <c r="G122" i="31"/>
  <c r="G123" i="31"/>
  <c r="G124" i="31"/>
  <c r="G125" i="31"/>
  <c r="G126" i="31"/>
  <c r="G127" i="31"/>
  <c r="G128" i="31"/>
  <c r="G129" i="31"/>
  <c r="G130" i="31"/>
  <c r="G131" i="31"/>
  <c r="G132" i="31"/>
  <c r="G133" i="31"/>
  <c r="G134" i="31"/>
  <c r="G135" i="31"/>
  <c r="G136" i="31"/>
  <c r="G137" i="31"/>
  <c r="G138" i="31"/>
  <c r="G139" i="31"/>
  <c r="G140" i="31"/>
  <c r="G141" i="31"/>
  <c r="G142" i="31"/>
  <c r="G143" i="31"/>
  <c r="G144" i="31"/>
  <c r="G145" i="31"/>
  <c r="G146" i="31"/>
  <c r="G147" i="31"/>
  <c r="G148" i="31"/>
  <c r="G149" i="31"/>
  <c r="G150" i="31"/>
  <c r="G151" i="31"/>
  <c r="G152" i="31"/>
  <c r="G153" i="31"/>
  <c r="G154" i="31"/>
  <c r="G155" i="31"/>
  <c r="G156" i="31"/>
  <c r="G157" i="31"/>
  <c r="G158" i="31"/>
  <c r="G159" i="31"/>
  <c r="G160" i="31"/>
  <c r="G161" i="31"/>
  <c r="G162" i="31"/>
  <c r="G163" i="31"/>
  <c r="G164" i="31"/>
  <c r="G165" i="31"/>
  <c r="G166" i="31"/>
  <c r="G167" i="31"/>
  <c r="G168" i="31"/>
  <c r="G169" i="31"/>
  <c r="G170" i="31"/>
  <c r="G171" i="31"/>
  <c r="G172" i="31"/>
  <c r="G173" i="31"/>
  <c r="G174" i="31"/>
  <c r="G175" i="31"/>
  <c r="G176" i="31"/>
  <c r="G177" i="31"/>
  <c r="G178" i="31"/>
  <c r="G179" i="31"/>
  <c r="G180" i="31"/>
  <c r="G181" i="31"/>
  <c r="G182" i="31"/>
  <c r="G183" i="31"/>
  <c r="G184" i="31"/>
  <c r="G185" i="31"/>
  <c r="G2" i="31"/>
  <c r="B3" i="31"/>
  <c r="B4" i="31"/>
  <c r="B5" i="31"/>
  <c r="B6" i="31"/>
  <c r="B7" i="31"/>
  <c r="B8" i="31"/>
  <c r="B9" i="31"/>
  <c r="B10" i="31"/>
  <c r="B11" i="31"/>
  <c r="B12" i="31"/>
  <c r="B13" i="31"/>
  <c r="B14" i="31"/>
  <c r="B15" i="31"/>
  <c r="B16" i="31"/>
  <c r="B17" i="31"/>
  <c r="B18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37" i="31"/>
  <c r="B38" i="31"/>
  <c r="B39" i="31"/>
  <c r="B40" i="31"/>
  <c r="B41" i="31"/>
  <c r="B42" i="31"/>
  <c r="B43" i="31"/>
  <c r="B44" i="31"/>
  <c r="B45" i="31"/>
  <c r="B46" i="31"/>
  <c r="B47" i="31"/>
  <c r="B48" i="31"/>
  <c r="B49" i="31"/>
  <c r="B50" i="31"/>
  <c r="B51" i="31"/>
  <c r="B52" i="31"/>
  <c r="B53" i="31"/>
  <c r="B54" i="31"/>
  <c r="B55" i="31"/>
  <c r="B56" i="31"/>
  <c r="B57" i="31"/>
  <c r="B58" i="31"/>
  <c r="B59" i="31"/>
  <c r="B60" i="31"/>
  <c r="B61" i="31"/>
  <c r="B62" i="31"/>
  <c r="B63" i="31"/>
  <c r="B64" i="31"/>
  <c r="B65" i="31"/>
  <c r="B66" i="31"/>
  <c r="B67" i="31"/>
  <c r="B68" i="31"/>
  <c r="B69" i="31"/>
  <c r="B70" i="31"/>
  <c r="B71" i="31"/>
  <c r="B72" i="31"/>
  <c r="B73" i="31"/>
  <c r="B74" i="31"/>
  <c r="B75" i="31"/>
  <c r="B76" i="31"/>
  <c r="B77" i="31"/>
  <c r="B78" i="31"/>
  <c r="B79" i="31"/>
  <c r="B80" i="31"/>
  <c r="B81" i="31"/>
  <c r="B82" i="31"/>
  <c r="B83" i="31"/>
  <c r="B84" i="31"/>
  <c r="B85" i="31"/>
  <c r="B86" i="31"/>
  <c r="B87" i="31"/>
  <c r="B88" i="31"/>
  <c r="B89" i="31"/>
  <c r="B90" i="31"/>
  <c r="B91" i="31"/>
  <c r="B92" i="31"/>
  <c r="B93" i="31"/>
  <c r="B94" i="31"/>
  <c r="B95" i="31"/>
  <c r="B96" i="31"/>
  <c r="B97" i="31"/>
  <c r="B98" i="31"/>
  <c r="B99" i="31"/>
  <c r="B100" i="31"/>
  <c r="B101" i="31"/>
  <c r="B102" i="31"/>
  <c r="B103" i="31"/>
  <c r="B104" i="31"/>
  <c r="B105" i="31"/>
  <c r="B106" i="31"/>
  <c r="B107" i="31"/>
  <c r="B108" i="31"/>
  <c r="B109" i="31"/>
  <c r="B110" i="31"/>
  <c r="B111" i="31"/>
  <c r="B112" i="31"/>
  <c r="B113" i="31"/>
  <c r="B114" i="31"/>
  <c r="B115" i="31"/>
  <c r="B116" i="31"/>
  <c r="B117" i="31"/>
  <c r="B118" i="31"/>
  <c r="B119" i="31"/>
  <c r="B120" i="31"/>
  <c r="B121" i="31"/>
  <c r="B122" i="31"/>
  <c r="B123" i="31"/>
  <c r="B124" i="31"/>
  <c r="B125" i="31"/>
  <c r="B126" i="31"/>
  <c r="B127" i="31"/>
  <c r="B128" i="31"/>
  <c r="B129" i="31"/>
  <c r="B130" i="31"/>
  <c r="B131" i="31"/>
  <c r="B132" i="31"/>
  <c r="B133" i="31"/>
  <c r="B134" i="31"/>
  <c r="B135" i="31"/>
  <c r="B136" i="31"/>
  <c r="B137" i="31"/>
  <c r="B138" i="31"/>
  <c r="B139" i="31"/>
  <c r="B140" i="31"/>
  <c r="B141" i="31"/>
  <c r="B142" i="31"/>
  <c r="B143" i="31"/>
  <c r="B144" i="31"/>
  <c r="B145" i="31"/>
  <c r="B146" i="31"/>
  <c r="B147" i="31"/>
  <c r="B148" i="31"/>
  <c r="B149" i="31"/>
  <c r="B150" i="31"/>
  <c r="B151" i="31"/>
  <c r="B152" i="31"/>
  <c r="B153" i="31"/>
  <c r="B154" i="31"/>
  <c r="B155" i="31"/>
  <c r="B156" i="31"/>
  <c r="B157" i="31"/>
  <c r="B158" i="31"/>
  <c r="B159" i="31"/>
  <c r="B160" i="31"/>
  <c r="B161" i="31"/>
  <c r="B162" i="31"/>
  <c r="B163" i="31"/>
  <c r="B164" i="31"/>
  <c r="B165" i="31"/>
  <c r="B166" i="31"/>
  <c r="B167" i="31"/>
  <c r="B168" i="31"/>
  <c r="B169" i="31"/>
  <c r="B170" i="31"/>
  <c r="B171" i="31"/>
  <c r="B172" i="31"/>
  <c r="B173" i="31"/>
  <c r="B174" i="31"/>
  <c r="B175" i="31"/>
  <c r="B176" i="31"/>
  <c r="B177" i="31"/>
  <c r="B178" i="31"/>
  <c r="B179" i="31"/>
  <c r="B180" i="31"/>
  <c r="B181" i="31"/>
  <c r="B182" i="31"/>
  <c r="B183" i="31"/>
  <c r="B184" i="31"/>
  <c r="B185" i="31"/>
  <c r="B2" i="31"/>
  <c r="BC6" i="20"/>
  <c r="BD6" i="20" s="1"/>
  <c r="BC7" i="20"/>
  <c r="BD7" i="20" s="1"/>
  <c r="BC5" i="20"/>
  <c r="BD5" i="20" s="1"/>
  <c r="C6" i="20"/>
  <c r="C7" i="20"/>
  <c r="C8" i="20"/>
  <c r="C5" i="20"/>
</calcChain>
</file>

<file path=xl/comments1.xml><?xml version="1.0" encoding="utf-8"?>
<comments xmlns="http://schemas.openxmlformats.org/spreadsheetml/2006/main">
  <authors>
    <author>Think X1</author>
  </authors>
  <commentList>
    <comment ref="G2" authorId="0" shapeId="0">
      <text>
        <r>
          <rPr>
            <b/>
            <sz val="9"/>
            <color indexed="81"/>
            <rFont val="Tahoma"/>
            <family val="2"/>
          </rPr>
          <t>Think X1:</t>
        </r>
        <r>
          <rPr>
            <sz val="9"/>
            <color indexed="81"/>
            <rFont val="Tahoma"/>
            <family val="2"/>
          </rPr>
          <t xml:space="preserve">
Nếu GCN in Hộ 
</t>
        </r>
      </text>
    </comment>
    <comment ref="I2" authorId="0" shapeId="0">
      <text>
        <r>
          <rPr>
            <b/>
            <sz val="9"/>
            <color indexed="81"/>
            <rFont val="Tahoma"/>
            <family val="2"/>
          </rPr>
          <t>Think X1:</t>
        </r>
        <r>
          <rPr>
            <sz val="9"/>
            <color indexed="81"/>
            <rFont val="Tahoma"/>
            <family val="2"/>
          </rPr>
          <t xml:space="preserve">
&lt;=150 ký tự
</t>
        </r>
      </text>
    </comment>
    <comment ref="AQ2" authorId="0" shapeId="0">
      <text>
        <r>
          <rPr>
            <b/>
            <sz val="9"/>
            <color indexed="81"/>
            <rFont val="Tahoma"/>
            <family val="2"/>
          </rPr>
          <t>Think X1:</t>
        </r>
        <r>
          <rPr>
            <sz val="9"/>
            <color indexed="81"/>
            <rFont val="Tahoma"/>
            <family val="2"/>
          </rPr>
          <t xml:space="preserve">
Dưới 4 ký tự
</t>
        </r>
      </text>
    </comment>
    <comment ref="AR2" authorId="0" shapeId="0">
      <text>
        <r>
          <rPr>
            <b/>
            <sz val="9"/>
            <color indexed="81"/>
            <rFont val="Tahoma"/>
            <family val="2"/>
          </rPr>
          <t xml:space="preserve">Think X1: &lt;= 5 ký tự
</t>
        </r>
      </text>
    </comment>
    <comment ref="CV2" authorId="0" shapeId="0">
      <text>
        <r>
          <rPr>
            <b/>
            <sz val="9"/>
            <color indexed="81"/>
            <rFont val="Tahoma"/>
            <family val="2"/>
          </rPr>
          <t>Think X1:</t>
        </r>
        <r>
          <rPr>
            <sz val="9"/>
            <color indexed="81"/>
            <rFont val="Tahoma"/>
            <family val="2"/>
          </rPr>
          <t xml:space="preserve">
 1 ký tự</t>
        </r>
      </text>
    </comment>
    <comment ref="Q3" authorId="0" shapeId="0">
      <text>
        <r>
          <rPr>
            <b/>
            <sz val="9"/>
            <color indexed="81"/>
            <rFont val="Tahoma"/>
            <family val="2"/>
          </rPr>
          <t>Thin
&lt;=50 ký tự</t>
        </r>
      </text>
    </comment>
    <comment ref="R3" authorId="0" shapeId="0">
      <text>
        <r>
          <rPr>
            <b/>
            <sz val="9"/>
            <color indexed="81"/>
            <rFont val="Tahoma"/>
            <family val="2"/>
          </rPr>
          <t>Think X1:</t>
        </r>
        <r>
          <rPr>
            <sz val="9"/>
            <color indexed="81"/>
            <rFont val="Tahoma"/>
            <family val="2"/>
          </rPr>
          <t xml:space="preserve">
&lt;=50 ký tự
</t>
        </r>
      </text>
    </comment>
    <comment ref="S3" authorId="0" shapeId="0">
      <text>
        <r>
          <rPr>
            <b/>
            <sz val="9"/>
            <color indexed="81"/>
            <rFont val="Tahoma"/>
            <family val="2"/>
          </rPr>
          <t>Think X1:</t>
        </r>
        <r>
          <rPr>
            <sz val="9"/>
            <color indexed="81"/>
            <rFont val="Tahoma"/>
            <family val="2"/>
          </rPr>
          <t xml:space="preserve">
&lt;=30 ký tự
</t>
        </r>
      </text>
    </comment>
    <comment ref="T3" authorId="0" shapeId="0">
      <text>
        <r>
          <rPr>
            <b/>
            <sz val="9"/>
            <color indexed="81"/>
            <rFont val="Tahoma"/>
            <family val="2"/>
          </rPr>
          <t>Think X1:</t>
        </r>
        <r>
          <rPr>
            <sz val="9"/>
            <color indexed="81"/>
            <rFont val="Tahoma"/>
            <family val="2"/>
          </rPr>
          <t xml:space="preserve">
&lt;=30 ký tự</t>
        </r>
      </text>
    </comment>
    <comment ref="U3" authorId="0" shapeId="0">
      <text>
        <r>
          <rPr>
            <b/>
            <sz val="9"/>
            <color indexed="81"/>
            <rFont val="Tahoma"/>
            <family val="2"/>
          </rPr>
          <t>Think X1:</t>
        </r>
        <r>
          <rPr>
            <sz val="9"/>
            <color indexed="81"/>
            <rFont val="Tahoma"/>
            <family val="2"/>
          </rPr>
          <t xml:space="preserve">
&lt;=30 ký tư</t>
        </r>
      </text>
    </comment>
    <comment ref="BC3" authorId="0" shapeId="0">
      <text>
        <r>
          <rPr>
            <b/>
            <sz val="9"/>
            <color indexed="81"/>
            <rFont val="Tahoma"/>
            <family val="2"/>
          </rPr>
          <t>Think X1:&lt;= 3 ký tự</t>
        </r>
      </text>
    </comment>
    <comment ref="BG3" authorId="0" shapeId="0">
      <text>
        <r>
          <rPr>
            <b/>
            <sz val="9"/>
            <color indexed="81"/>
            <rFont val="Tahoma"/>
            <family val="2"/>
          </rPr>
          <t>Think X1:</t>
        </r>
        <r>
          <rPr>
            <sz val="9"/>
            <color indexed="81"/>
            <rFont val="Tahoma"/>
            <family val="2"/>
          </rPr>
          <t xml:space="preserve">
&lt;= 50 ký tự</t>
        </r>
      </text>
    </comment>
  </commentList>
</comments>
</file>

<file path=xl/sharedStrings.xml><?xml version="1.0" encoding="utf-8"?>
<sst xmlns="http://schemas.openxmlformats.org/spreadsheetml/2006/main" count="5682" uniqueCount="2132">
  <si>
    <t>Số TT</t>
  </si>
  <si>
    <t>Giấy chứng nhận</t>
  </si>
  <si>
    <t>Thông tin vợ (chồng)</t>
  </si>
  <si>
    <t>Thông tin thửa đất</t>
  </si>
  <si>
    <t>Thông tin ký GCN</t>
  </si>
  <si>
    <t>Mã đơn</t>
  </si>
  <si>
    <t>Mã Chủ SD</t>
  </si>
  <si>
    <t>Số serial</t>
  </si>
  <si>
    <t>Mã HS Gốc</t>
  </si>
  <si>
    <t>Mã vạch</t>
  </si>
  <si>
    <t>ĐTSD</t>
  </si>
  <si>
    <t>HGD</t>
  </si>
  <si>
    <t>Giới tính</t>
  </si>
  <si>
    <t>Năm sinh</t>
  </si>
  <si>
    <t>Loại GT</t>
  </si>
  <si>
    <t>Số giấy tờ</t>
  </si>
  <si>
    <t>Ngày cấp</t>
  </si>
  <si>
    <t>Nơi cấp</t>
  </si>
  <si>
    <t>Họ và tên</t>
  </si>
  <si>
    <t>Số Giấy tờ</t>
  </si>
  <si>
    <t>Số thửa</t>
  </si>
  <si>
    <t>Số tờ</t>
  </si>
  <si>
    <t>Loại bản đồ</t>
  </si>
  <si>
    <t>Năm hoàn thành</t>
  </si>
  <si>
    <t>Số vào sổ</t>
  </si>
  <si>
    <t>Người ký</t>
  </si>
  <si>
    <t>Năm cấp</t>
  </si>
  <si>
    <t>Tên đợt cấp</t>
  </si>
  <si>
    <t>Ghi chú trang 1</t>
  </si>
  <si>
    <t>Ghi chú trang 2</t>
  </si>
  <si>
    <t>Loại hạn chế</t>
  </si>
  <si>
    <t>Diện tích</t>
  </si>
  <si>
    <t>Nội dung</t>
  </si>
  <si>
    <t>Số văn bản</t>
  </si>
  <si>
    <t>Ngày ban hành</t>
  </si>
  <si>
    <t>Cơ quan ban hành</t>
  </si>
  <si>
    <t>Loại NVTC</t>
  </si>
  <si>
    <t>Tổng số tiền</t>
  </si>
  <si>
    <t>Tổng số tiền miễn giảm</t>
  </si>
  <si>
    <t>Tổng số tiền nợ</t>
  </si>
  <si>
    <t>Số tầng</t>
  </si>
  <si>
    <t>Số tầng hầm</t>
  </si>
  <si>
    <t>Kết cấu</t>
  </si>
  <si>
    <t>Cấp hạng</t>
  </si>
  <si>
    <t>Thời hạn sở hữu</t>
  </si>
  <si>
    <t>Năm xây dựng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</si>
  <si>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</si>
  <si>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</si>
  <si>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</si>
  <si>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</si>
  <si>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</si>
  <si>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</si>
  <si>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</si>
  <si>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</si>
  <si>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</si>
  <si>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</si>
  <si>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</si>
  <si>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</si>
  <si>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</si>
  <si>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</si>
  <si>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</si>
  <si>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</si>
  <si>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</si>
  <si>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</si>
  <si>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</si>
  <si>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</si>
  <si>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</si>
  <si>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</si>
  <si>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</si>
  <si>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</si>
  <si>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</si>
  <si>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</si>
  <si>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</si>
  <si>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</si>
  <si>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</si>
  <si>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</si>
  <si>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</si>
  <si>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</si>
  <si>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</si>
  <si>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</si>
  <si>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</si>
  <si>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</si>
  <si>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</si>
  <si>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</si>
  <si>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</si>
  <si>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</si>
  <si>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</si>
  <si>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</si>
  <si>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</si>
  <si>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</si>
  <si>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</si>
  <si>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</si>
  <si>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</si>
  <si>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</si>
  <si>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</si>
  <si>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</si>
  <si>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</si>
  <si>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</si>
  <si>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</si>
  <si>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</si>
  <si>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</si>
  <si>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</si>
  <si>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</si>
  <si>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</si>
  <si>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</si>
  <si>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</si>
  <si>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</si>
  <si>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</si>
  <si>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</si>
  <si>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</si>
  <si>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</si>
  <si>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</si>
  <si>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</si>
  <si>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</si>
  <si>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</si>
  <si>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</si>
  <si>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</si>
  <si>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</si>
  <si>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</si>
  <si>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</si>
  <si>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</si>
  <si>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</si>
  <si>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</si>
  <si>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</si>
  <si>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</si>
  <si>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</si>
  <si>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</si>
  <si>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</si>
  <si>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</si>
  <si>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</si>
  <si>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</si>
  <si>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</si>
  <si>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</si>
  <si>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</si>
  <si>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</si>
  <si>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</si>
  <si>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</si>
  <si>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</si>
  <si>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</si>
  <si>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</si>
  <si>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</si>
  <si>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</si>
  <si>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</si>
  <si>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</si>
  <si>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</si>
  <si>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</si>
  <si>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</si>
  <si>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105</t>
  </si>
  <si>
    <t>104</t>
  </si>
  <si>
    <t>106</t>
  </si>
  <si>
    <t>114</t>
  </si>
  <si>
    <t>113</t>
  </si>
  <si>
    <t>111</t>
  </si>
  <si>
    <t>107</t>
  </si>
  <si>
    <t>108</t>
  </si>
  <si>
    <t>109</t>
  </si>
  <si>
    <t>110</t>
  </si>
  <si>
    <t>112</t>
  </si>
  <si>
    <t>102</t>
  </si>
  <si>
    <t>103</t>
  </si>
  <si>
    <t>Loại GCN</t>
  </si>
  <si>
    <t>Đường Phố</t>
  </si>
  <si>
    <t>Tổ dân phố</t>
  </si>
  <si>
    <t>Ngày hoàn thành</t>
  </si>
  <si>
    <t>Ngày bắt đầu</t>
  </si>
  <si>
    <t>Tên chung cư</t>
  </si>
  <si>
    <t>Tầng số</t>
  </si>
  <si>
    <t>Diện tích sàn</t>
  </si>
  <si>
    <t>Quốc tịch</t>
  </si>
  <si>
    <t>Dân tộc</t>
  </si>
  <si>
    <t>Mã số thuế</t>
  </si>
  <si>
    <t>Ngày ký GCN</t>
  </si>
  <si>
    <t>Căn cứ pháp lý</t>
  </si>
  <si>
    <t>Ký thay</t>
  </si>
  <si>
    <t>Mã xã/phường</t>
  </si>
  <si>
    <t>Địa chỉ đầy đủ</t>
  </si>
  <si>
    <t>Số nhà, ngõ phố,…</t>
  </si>
  <si>
    <t>Mã xã/Phường</t>
  </si>
  <si>
    <t>Trạng thái thửa đất</t>
  </si>
  <si>
    <t>Ngày vào sổ</t>
  </si>
  <si>
    <t>Ủy quyền ký</t>
  </si>
  <si>
    <t>Số nhà, ngõ phố…</t>
  </si>
  <si>
    <t>Địa chỉ vợ (chồng)</t>
  </si>
  <si>
    <t>Căn hộ</t>
  </si>
  <si>
    <t>Nhà chung cư</t>
  </si>
  <si>
    <t>Khu chung cư</t>
  </si>
  <si>
    <t>Diện tích xây dựng</t>
  </si>
  <si>
    <t>Diện tích sử dụng</t>
  </si>
  <si>
    <t>Loại căn hộ</t>
  </si>
  <si>
    <t>Số hiệu căn hộ</t>
  </si>
  <si>
    <t>Diện tích chung</t>
  </si>
  <si>
    <t>Diện tích riêng</t>
  </si>
  <si>
    <t>Tên khu chung cư</t>
  </si>
  <si>
    <t>Loại nhà chung cư</t>
  </si>
  <si>
    <t>Tổng số căn hộ</t>
  </si>
  <si>
    <t xml:space="preserve">Diện tích </t>
  </si>
  <si>
    <t>Địa chỉ chủ sử dụng</t>
  </si>
  <si>
    <t>CNQ-CTT</t>
  </si>
  <si>
    <t>CNQ-KTT</t>
  </si>
  <si>
    <t>DT-THN</t>
  </si>
  <si>
    <t>DT-TML</t>
  </si>
  <si>
    <t>Nhà nước cho thuê đất trả tiền một lần</t>
  </si>
  <si>
    <t>DG-CTT</t>
  </si>
  <si>
    <t>Nhà nước giao đất có thu tiền sử dụng đất</t>
  </si>
  <si>
    <t>DG-KTT</t>
  </si>
  <si>
    <t>Nhà nước giao đất không thu tiền sử dụng đất</t>
  </si>
  <si>
    <t>DG-QL</t>
  </si>
  <si>
    <t>Nhà nước giao đất để quản lý</t>
  </si>
  <si>
    <t>DT-KCN</t>
  </si>
  <si>
    <t>DT-KCN-THN</t>
  </si>
  <si>
    <t>DT-KCN-TML</t>
  </si>
  <si>
    <t>Thuê đất trả tiền một lần của doanh nghiệp đầu tư hạ tầng khu công nghiệp, khu kinh tế, khu công nghệ cao</t>
  </si>
  <si>
    <t>06649</t>
  </si>
  <si>
    <t>06652</t>
  </si>
  <si>
    <t>06655</t>
  </si>
  <si>
    <t>06658</t>
  </si>
  <si>
    <t>06661</t>
  </si>
  <si>
    <t>06664</t>
  </si>
  <si>
    <t>06667</t>
  </si>
  <si>
    <t>06670</t>
  </si>
  <si>
    <t>06673</t>
  </si>
  <si>
    <t>06676</t>
  </si>
  <si>
    <t>06679</t>
  </si>
  <si>
    <t>06685</t>
  </si>
  <si>
    <t>06688</t>
  </si>
  <si>
    <t>06691</t>
  </si>
  <si>
    <t>06694</t>
  </si>
  <si>
    <t>06697</t>
  </si>
  <si>
    <t>06700</t>
  </si>
  <si>
    <t>06703</t>
  </si>
  <si>
    <t>06706</t>
  </si>
  <si>
    <t>07030</t>
  </si>
  <si>
    <t>07033</t>
  </si>
  <si>
    <t>07036</t>
  </si>
  <si>
    <t>07039</t>
  </si>
  <si>
    <t>07042</t>
  </si>
  <si>
    <t>07045</t>
  </si>
  <si>
    <t>07048</t>
  </si>
  <si>
    <t>07051</t>
  </si>
  <si>
    <t>07054</t>
  </si>
  <si>
    <t>07057</t>
  </si>
  <si>
    <t>07060</t>
  </si>
  <si>
    <t>07063</t>
  </si>
  <si>
    <t>07066</t>
  </si>
  <si>
    <t>06709</t>
  </si>
  <si>
    <t>06712</t>
  </si>
  <si>
    <t>06715</t>
  </si>
  <si>
    <t>06721</t>
  </si>
  <si>
    <t>06724</t>
  </si>
  <si>
    <t>06727</t>
  </si>
  <si>
    <t>06730</t>
  </si>
  <si>
    <t>06733</t>
  </si>
  <si>
    <t>06736</t>
  </si>
  <si>
    <t>06739</t>
  </si>
  <si>
    <t>06742</t>
  </si>
  <si>
    <t>06745</t>
  </si>
  <si>
    <t>06748</t>
  </si>
  <si>
    <t>06751</t>
  </si>
  <si>
    <t>06754</t>
  </si>
  <si>
    <t>06757</t>
  </si>
  <si>
    <t>06760</t>
  </si>
  <si>
    <t>06763</t>
  </si>
  <si>
    <t>06766</t>
  </si>
  <si>
    <t>06769</t>
  </si>
  <si>
    <t>06772</t>
  </si>
  <si>
    <t>06775</t>
  </si>
  <si>
    <t>06778</t>
  </si>
  <si>
    <t>06781</t>
  </si>
  <si>
    <t>06784</t>
  </si>
  <si>
    <t>06787</t>
  </si>
  <si>
    <t>06790</t>
  </si>
  <si>
    <t>06793</t>
  </si>
  <si>
    <t>06796</t>
  </si>
  <si>
    <t>06799</t>
  </si>
  <si>
    <t>06805</t>
  </si>
  <si>
    <t>06808</t>
  </si>
  <si>
    <t>06811</t>
  </si>
  <si>
    <t>06814</t>
  </si>
  <si>
    <t>06817</t>
  </si>
  <si>
    <t>06820</t>
  </si>
  <si>
    <t>06823</t>
  </si>
  <si>
    <t>06826</t>
  </si>
  <si>
    <t>06829</t>
  </si>
  <si>
    <t>06832</t>
  </si>
  <si>
    <t>06835</t>
  </si>
  <si>
    <t>06838</t>
  </si>
  <si>
    <t>06841</t>
  </si>
  <si>
    <t>06844</t>
  </si>
  <si>
    <t>06847</t>
  </si>
  <si>
    <t>06853</t>
  </si>
  <si>
    <t>06856</t>
  </si>
  <si>
    <t>06859</t>
  </si>
  <si>
    <t>06862</t>
  </si>
  <si>
    <t>06865</t>
  </si>
  <si>
    <t>06868</t>
  </si>
  <si>
    <t>06871</t>
  </si>
  <si>
    <t>06874</t>
  </si>
  <si>
    <t>06877</t>
  </si>
  <si>
    <t>06880</t>
  </si>
  <si>
    <t>06883</t>
  </si>
  <si>
    <t>06886</t>
  </si>
  <si>
    <t>06889</t>
  </si>
  <si>
    <t>06892</t>
  </si>
  <si>
    <t>06895</t>
  </si>
  <si>
    <t>06898</t>
  </si>
  <si>
    <t>06901</t>
  </si>
  <si>
    <t>06904</t>
  </si>
  <si>
    <t>06910</t>
  </si>
  <si>
    <t>06913</t>
  </si>
  <si>
    <t>06916</t>
  </si>
  <si>
    <t>06917</t>
  </si>
  <si>
    <t>06919</t>
  </si>
  <si>
    <t>06922</t>
  </si>
  <si>
    <t>06925</t>
  </si>
  <si>
    <t>06928</t>
  </si>
  <si>
    <t>06931</t>
  </si>
  <si>
    <t>06937</t>
  </si>
  <si>
    <t>06940</t>
  </si>
  <si>
    <t>06943</t>
  </si>
  <si>
    <t>06946</t>
  </si>
  <si>
    <t>06949</t>
  </si>
  <si>
    <t>06952</t>
  </si>
  <si>
    <t>06967</t>
  </si>
  <si>
    <t>06970</t>
  </si>
  <si>
    <t>06973</t>
  </si>
  <si>
    <t>06976</t>
  </si>
  <si>
    <t>06979</t>
  </si>
  <si>
    <t>06982</t>
  </si>
  <si>
    <t>06985</t>
  </si>
  <si>
    <t>06988</t>
  </si>
  <si>
    <t>06994</t>
  </si>
  <si>
    <t>06997</t>
  </si>
  <si>
    <t>07000</t>
  </si>
  <si>
    <t>07003</t>
  </si>
  <si>
    <t>07006</t>
  </si>
  <si>
    <t>07009</t>
  </si>
  <si>
    <t>07012</t>
  </si>
  <si>
    <t>07015</t>
  </si>
  <si>
    <t>07018</t>
  </si>
  <si>
    <t>07021</t>
  </si>
  <si>
    <t>07024</t>
  </si>
  <si>
    <t>07027</t>
  </si>
  <si>
    <t>07069</t>
  </si>
  <si>
    <t>07075</t>
  </si>
  <si>
    <t>07078</t>
  </si>
  <si>
    <t>07081</t>
  </si>
  <si>
    <t>07084</t>
  </si>
  <si>
    <t>07090</t>
  </si>
  <si>
    <t>07093</t>
  </si>
  <si>
    <t>07096</t>
  </si>
  <si>
    <t>07099</t>
  </si>
  <si>
    <t>07102</t>
  </si>
  <si>
    <t>07105</t>
  </si>
  <si>
    <t>07108</t>
  </si>
  <si>
    <t>07111</t>
  </si>
  <si>
    <t>07114</t>
  </si>
  <si>
    <t>07117</t>
  </si>
  <si>
    <t>07120</t>
  </si>
  <si>
    <t>07123</t>
  </si>
  <si>
    <t>07126</t>
  </si>
  <si>
    <t>07129</t>
  </si>
  <si>
    <t>07132</t>
  </si>
  <si>
    <t>07135</t>
  </si>
  <si>
    <t>07138</t>
  </si>
  <si>
    <t>07144</t>
  </si>
  <si>
    <t>07147</t>
  </si>
  <si>
    <t>07150</t>
  </si>
  <si>
    <t>07153</t>
  </si>
  <si>
    <t>07156</t>
  </si>
  <si>
    <t>07159</t>
  </si>
  <si>
    <t>07162</t>
  </si>
  <si>
    <t>07165</t>
  </si>
  <si>
    <t>07168</t>
  </si>
  <si>
    <t>07171</t>
  </si>
  <si>
    <t>07174</t>
  </si>
  <si>
    <t>07177</t>
  </si>
  <si>
    <t>07180</t>
  </si>
  <si>
    <t>07183</t>
  </si>
  <si>
    <t>07186</t>
  </si>
  <si>
    <t>07189</t>
  </si>
  <si>
    <t>07192</t>
  </si>
  <si>
    <t>07195</t>
  </si>
  <si>
    <t>07198</t>
  </si>
  <si>
    <t>Đất trồng cây lâu năm</t>
  </si>
  <si>
    <t>Đất rừng sản xuất</t>
  </si>
  <si>
    <t>Đất rừng phòng hộ</t>
  </si>
  <si>
    <t>Đất rừng đặc dụng</t>
  </si>
  <si>
    <t>Đất nuôi trồng thủy sản</t>
  </si>
  <si>
    <t>Đất làm muối</t>
  </si>
  <si>
    <t>Đất nông nghiệp khác</t>
  </si>
  <si>
    <t>Đất ở tại nông thôn</t>
  </si>
  <si>
    <t>Đất ở tại đô thị</t>
  </si>
  <si>
    <t>Đất xây dựng trụ sở cơ quan</t>
  </si>
  <si>
    <t>Đất xây dựng cơ sở văn hóa</t>
  </si>
  <si>
    <t>Đất xây dựng cơ sở y tế</t>
  </si>
  <si>
    <t>Đất xây dựng cơ sở giáo dục và đào tạo</t>
  </si>
  <si>
    <t>Đất xây dựng cơ sở khoa học và công nghệ</t>
  </si>
  <si>
    <t>DXH</t>
  </si>
  <si>
    <t>Đất xây dựng cơ sở ngoại giao</t>
  </si>
  <si>
    <t>Đất xây dựng công trình sự nghiệp khác</t>
  </si>
  <si>
    <t>Đất quốc phòng</t>
  </si>
  <si>
    <t>Đất an ninh</t>
  </si>
  <si>
    <t>CAN</t>
  </si>
  <si>
    <t>Đất khu công nghiệp</t>
  </si>
  <si>
    <t>Đất cụm công nghiệp</t>
  </si>
  <si>
    <t>Đất thương mại, dịch vụ</t>
  </si>
  <si>
    <t>Đất cơ sở sản xuất phi nông nghiệp</t>
  </si>
  <si>
    <t>Đất sử dụng cho hoạt động khoáng sản</t>
  </si>
  <si>
    <t>DKV</t>
  </si>
  <si>
    <t>DNL</t>
  </si>
  <si>
    <t>DBV</t>
  </si>
  <si>
    <t>DRA</t>
  </si>
  <si>
    <t>TON</t>
  </si>
  <si>
    <t>TIN</t>
  </si>
  <si>
    <t>NTD</t>
  </si>
  <si>
    <t>SON</t>
  </si>
  <si>
    <t>Đất có mặt nước chuyên dùng</t>
  </si>
  <si>
    <t>MNC</t>
  </si>
  <si>
    <t>Đất phi nông nghiệp khác</t>
  </si>
  <si>
    <t>Đất bằng chưa sử dụng</t>
  </si>
  <si>
    <t>Đất đồi núi chưa sử dụng</t>
  </si>
  <si>
    <t>Núi đá không có rừng cây</t>
  </si>
  <si>
    <t>Loại nghĩa vụ tài chính</t>
  </si>
  <si>
    <t>Giấy chứng nhận QSDĐ &amp; QSHNƠ và TSKGLVĐ theo NĐ 43/NĐ-CP</t>
  </si>
  <si>
    <t>Giấy chứng nhận QSDĐ &amp; QSHNƠ và TSKGLVĐ theo NĐ 88/NĐ-CP</t>
  </si>
  <si>
    <t>Giấy chứng nhận QSDĐ theo Luật Đất Đai 1993</t>
  </si>
  <si>
    <t>Giấy chứng nhận QSDĐ theo Luật Đất Đai 2003</t>
  </si>
  <si>
    <t>Giấy chứng nhận QSHNƠ &amp; QSDĐƠ theo Nghị định 90/NĐ-CP</t>
  </si>
  <si>
    <t>Giấy chứng nhận QSHNƠ &amp; QSDĐƠ theo Nghị định 60/NĐ-CP</t>
  </si>
  <si>
    <t>Giấy chứng nhận sở hữu công trình theo quy định 95</t>
  </si>
  <si>
    <t>Kinh</t>
  </si>
  <si>
    <t>Tày</t>
  </si>
  <si>
    <t>Thái</t>
  </si>
  <si>
    <t>Hoa</t>
  </si>
  <si>
    <t>Khơ-me</t>
  </si>
  <si>
    <t>Mường</t>
  </si>
  <si>
    <t>Nùng</t>
  </si>
  <si>
    <t>HMông</t>
  </si>
  <si>
    <t>Dao</t>
  </si>
  <si>
    <t>Gia-rai</t>
  </si>
  <si>
    <t>Ngái</t>
  </si>
  <si>
    <t>Ê-đê</t>
  </si>
  <si>
    <t>Ba na</t>
  </si>
  <si>
    <t>Xơ-Đăng</t>
  </si>
  <si>
    <t>Sán Chay</t>
  </si>
  <si>
    <t>Cơ-ho</t>
  </si>
  <si>
    <t>Chăm</t>
  </si>
  <si>
    <t>Sán Dìu</t>
  </si>
  <si>
    <t>Hrê</t>
  </si>
  <si>
    <t>Mnông</t>
  </si>
  <si>
    <t>Ra-glai</t>
  </si>
  <si>
    <t>Xtiêng</t>
  </si>
  <si>
    <t>Bru-Vân Kiều</t>
  </si>
  <si>
    <t>Thổ</t>
  </si>
  <si>
    <t>Giáy</t>
  </si>
  <si>
    <t>Cơ-tu</t>
  </si>
  <si>
    <t>Gié Triêng</t>
  </si>
  <si>
    <t>Mạ</t>
  </si>
  <si>
    <t>Khơ-mú</t>
  </si>
  <si>
    <t>Co</t>
  </si>
  <si>
    <t>Tà-ôi</t>
  </si>
  <si>
    <t>Chơ-ro</t>
  </si>
  <si>
    <t>Kháng</t>
  </si>
  <si>
    <t>Xinh-mun</t>
  </si>
  <si>
    <t>Hà Nhì</t>
  </si>
  <si>
    <t>Chu ru</t>
  </si>
  <si>
    <t>Lào</t>
  </si>
  <si>
    <t>La Chí</t>
  </si>
  <si>
    <t>La Ha</t>
  </si>
  <si>
    <t>Phù Lá</t>
  </si>
  <si>
    <t>La Hủ</t>
  </si>
  <si>
    <t>Lự</t>
  </si>
  <si>
    <t>Lô Lô</t>
  </si>
  <si>
    <t>Chứt</t>
  </si>
  <si>
    <t>Mảng</t>
  </si>
  <si>
    <t>Pà Thẻn</t>
  </si>
  <si>
    <t>Co Lao</t>
  </si>
  <si>
    <t>Cống</t>
  </si>
  <si>
    <t>Bố Y</t>
  </si>
  <si>
    <t>Si La</t>
  </si>
  <si>
    <t>Pu Péo</t>
  </si>
  <si>
    <t>Brâu</t>
  </si>
  <si>
    <t>Ơ Đu</t>
  </si>
  <si>
    <t>Mã</t>
  </si>
  <si>
    <t>Giấy khai sinh</t>
  </si>
  <si>
    <t>Giấy chứng minh sỹ quan quân đội nhân dân Việt Nam</t>
  </si>
  <si>
    <t>Giấy chứng minh công an nhân dân</t>
  </si>
  <si>
    <t>Căn cước công dân</t>
  </si>
  <si>
    <t>Hộ chiếu</t>
  </si>
  <si>
    <t>Các loại giấy tờ tùy thân khác</t>
  </si>
  <si>
    <t>CMND</t>
  </si>
  <si>
    <t>CCCD</t>
  </si>
  <si>
    <t>Bản đồ địa chính (VN2000)</t>
  </si>
  <si>
    <t>Bản đồ địa chính (HN72)</t>
  </si>
  <si>
    <t>Bản đồ 299/TTg</t>
  </si>
  <si>
    <t>Sơ đồ trích đo địa chính</t>
  </si>
  <si>
    <t>Bản đồ địa chính khác</t>
  </si>
  <si>
    <t>GDC</t>
  </si>
  <si>
    <t>TCC</t>
  </si>
  <si>
    <t>Tổ chức trong nước</t>
  </si>
  <si>
    <t>TKT</t>
  </si>
  <si>
    <t>TCN</t>
  </si>
  <si>
    <t>TSN</t>
  </si>
  <si>
    <t>TKH</t>
  </si>
  <si>
    <t>NNG</t>
  </si>
  <si>
    <t>TVN</t>
  </si>
  <si>
    <t>TNG</t>
  </si>
  <si>
    <t>Tổ chức nước ngoài có chức năng ngoại giao</t>
  </si>
  <si>
    <t>CNN</t>
  </si>
  <si>
    <t>CDS</t>
  </si>
  <si>
    <t>UBQ</t>
  </si>
  <si>
    <t>TPQ</t>
  </si>
  <si>
    <t>TKQ</t>
  </si>
  <si>
    <t>Chưa đăng ký</t>
  </si>
  <si>
    <t>Đã đăng ký, chưa đủ điều kiện cấp giấy chứng nhận</t>
  </si>
  <si>
    <t>Đã đăng ký, không đủ điều kiện cấp giấy chứng nhận</t>
  </si>
  <si>
    <t>Đã đăng ký, đủ điều kiện cấp giấy chứng nhận</t>
  </si>
  <si>
    <t>Đã cấp giấy chứng nhận</t>
  </si>
  <si>
    <t>Ngăn</t>
  </si>
  <si>
    <t>Giá</t>
  </si>
  <si>
    <t>Hồ sơ quét</t>
  </si>
  <si>
    <t>Thông tin giao nộp</t>
  </si>
  <si>
    <t>Thông tin lưu kho vật lý hồ sơ</t>
  </si>
  <si>
    <t>Thư mục lưu HSQ</t>
  </si>
  <si>
    <t>Đợt giao nộp</t>
  </si>
  <si>
    <t>Trạng thái kiểm tra</t>
  </si>
  <si>
    <t>Nội dung ghi chú</t>
  </si>
  <si>
    <t>Kho</t>
  </si>
  <si>
    <t xml:space="preserve"> Kệ</t>
  </si>
  <si>
    <t>Họ tên chủ</t>
  </si>
  <si>
    <t>Thông tin chủ sử dụng chung cư</t>
  </si>
  <si>
    <t>Nghĩa vụ tài chính của căn hộ</t>
  </si>
  <si>
    <t>Hạn chế quyền của căn hộ</t>
  </si>
  <si>
    <t>Tên nhà chung cư</t>
  </si>
  <si>
    <t>Thông tin chủ sử dụng</t>
  </si>
  <si>
    <t>Thông tin về tài sản gắn liền với đất</t>
  </si>
  <si>
    <t>Thông tin thửa đất cũ</t>
  </si>
  <si>
    <t>Họ tên</t>
  </si>
  <si>
    <t>Tỷ lệ</t>
  </si>
  <si>
    <t>Đơn vị đo đạc</t>
  </si>
  <si>
    <t>Phương pháp đo</t>
  </si>
  <si>
    <t>Mức độ chính xác</t>
  </si>
  <si>
    <t>Phân loại thửa đất</t>
  </si>
  <si>
    <t>Diện tích bản đồ</t>
  </si>
  <si>
    <t>Diện tích Pháp lý</t>
  </si>
  <si>
    <t>Đa mục đích sử dụng 1</t>
  </si>
  <si>
    <t>Đa mục đích sử dụng 2</t>
  </si>
  <si>
    <t>Đa mục đích sử dụng 3</t>
  </si>
  <si>
    <t>Đa mục đích sử dụng 4</t>
  </si>
  <si>
    <t>Diện tích hành lang</t>
  </si>
  <si>
    <t>Địa chỉ</t>
  </si>
  <si>
    <t>Ngày đăng ký đơn lần đầu</t>
  </si>
  <si>
    <t>Mã hình thức SD</t>
  </si>
  <si>
    <t>Hạn chế quyền</t>
  </si>
  <si>
    <t>Nghĩa vụ tài chính</t>
  </si>
  <si>
    <t>Nhà ở riêng lẻ</t>
  </si>
  <si>
    <t>Công trình ngầm</t>
  </si>
  <si>
    <t>Rừng trồng</t>
  </si>
  <si>
    <t>Cây lâu năm</t>
  </si>
  <si>
    <t>Tờ bản đồ</t>
  </si>
  <si>
    <t>Loại đất GCN</t>
  </si>
  <si>
    <t>Thời hạn</t>
  </si>
  <si>
    <t>Nguồn gốc</t>
  </si>
  <si>
    <t>Số Serial</t>
  </si>
  <si>
    <t>Hình thức sử dụng</t>
  </si>
  <si>
    <t>Mã MĐSD</t>
  </si>
  <si>
    <t>Mã MĐSD Quy hoạch</t>
  </si>
  <si>
    <t>Là SD chung</t>
  </si>
  <si>
    <t>Thời hạn sử dụng</t>
  </si>
  <si>
    <t>Nguồn gốc sử dụng</t>
  </si>
  <si>
    <t>Chi tiết</t>
  </si>
  <si>
    <t>Giao thông</t>
  </si>
  <si>
    <t>Lưới điện</t>
  </si>
  <si>
    <t>Sông suối</t>
  </si>
  <si>
    <t>Đường sắt</t>
  </si>
  <si>
    <t>DT xây dựng</t>
  </si>
  <si>
    <t>DT sàn</t>
  </si>
  <si>
    <t>Tên công trình</t>
  </si>
  <si>
    <t>Tên hạng mục</t>
  </si>
  <si>
    <t>Loại công trình</t>
  </si>
  <si>
    <t>Diện tích công trình</t>
  </si>
  <si>
    <t>Độ sâu tối đa</t>
  </si>
  <si>
    <t>Vị trí đầu nối</t>
  </si>
  <si>
    <t>Tên rừng</t>
  </si>
  <si>
    <t>Loại cây rừng</t>
  </si>
  <si>
    <t>Tên cây lâu năm</t>
  </si>
  <si>
    <t>Loại cây trồng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</si>
  <si>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</si>
  <si>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</si>
  <si>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</si>
  <si>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</si>
  <si>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</si>
  <si>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</si>
  <si>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</si>
  <si>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</si>
  <si>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</si>
  <si>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</si>
  <si>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</si>
  <si>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</si>
  <si>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</si>
  <si>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</si>
  <si>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</si>
  <si>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</si>
  <si>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</si>
  <si>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</si>
  <si>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</si>
  <si>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</si>
  <si>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</si>
  <si>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</si>
  <si>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</si>
  <si>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</si>
  <si>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</si>
  <si>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</si>
  <si>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</si>
  <si>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</si>
  <si>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</si>
  <si>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</si>
  <si>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</si>
  <si>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</si>
  <si>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</si>
  <si>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</si>
  <si>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</si>
  <si>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</si>
  <si>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</si>
  <si>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</si>
  <si>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</si>
  <si>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</si>
  <si>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</si>
  <si>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</si>
  <si>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</si>
  <si>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</si>
  <si>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</si>
  <si>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</si>
  <si>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</si>
  <si>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</si>
  <si>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</si>
  <si>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</si>
  <si>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</si>
  <si>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</si>
  <si>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</si>
  <si>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</si>
  <si>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</si>
  <si>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Hạng mục sở hữu chung ngoài căn hộ</t>
  </si>
  <si>
    <t>Quyền sử dụng</t>
  </si>
  <si>
    <t>Quyền sở hữu</t>
  </si>
  <si>
    <t>Có cả quyền sử dụng thửa đất và quyền sở hữu tài sản gắn liền với đất</t>
  </si>
  <si>
    <t>Quyền quản lý</t>
  </si>
  <si>
    <t>Ngày, tháng, năm sinh</t>
  </si>
  <si>
    <t>Xã, huyện, tỉnh</t>
  </si>
  <si>
    <t>Người đại diện</t>
  </si>
  <si>
    <t>Công năng</t>
  </si>
  <si>
    <t>Công trình, hạng mục công trình xây dựng</t>
  </si>
  <si>
    <t>Miễn giảm nghĩa vụ tài chính</t>
  </si>
  <si>
    <t>Số tiền</t>
  </si>
  <si>
    <t xml:space="preserve">Loại chế độ </t>
  </si>
  <si>
    <t>Nợ nghĩa vụ tài chính</t>
  </si>
  <si>
    <t>Số quyết định</t>
  </si>
  <si>
    <t>Hạn chế 1 phần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</si>
  <si>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</si>
  <si>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</si>
  <si>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</si>
  <si>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</si>
  <si>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</si>
  <si>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</si>
  <si>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</si>
  <si>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</si>
  <si>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</si>
  <si>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</si>
  <si>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</si>
  <si>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</si>
  <si>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</si>
  <si>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Lưu ý: Kiểu dữ liệu lô-gic: nhập 1 có là True, 0 là False
Giới tính: 1 là Nam, 0 là Nữ</t>
  </si>
  <si>
    <t>STT Cột</t>
  </si>
  <si>
    <t>Nhóm dữ liệu</t>
  </si>
  <si>
    <t>Tên cột</t>
  </si>
  <si>
    <t>Mô tả</t>
  </si>
  <si>
    <t>Chú thích</t>
  </si>
  <si>
    <t>Màu cột</t>
  </si>
  <si>
    <t>Những trường bắt buộc trong Thông tư 75</t>
  </si>
  <si>
    <t>Bỏ qua không nhập</t>
  </si>
  <si>
    <t>Những trường bổ sung, hỗ trợ bổ sung thông tin đẩy dữ liệu</t>
  </si>
  <si>
    <t>Số thứ tự dòng, bản ghi được đánh từ 1 đến hết</t>
  </si>
  <si>
    <t xml:space="preserve">Số serial bìa ghi trên GCN </t>
  </si>
  <si>
    <t>6 số cuối của mã vạch</t>
  </si>
  <si>
    <t>Mã vạch ghi trên GCN</t>
  </si>
  <si>
    <t>Được sinh sau khi xuất dữ liệu từ phần mềm</t>
  </si>
  <si>
    <t>Đối tượng sửu dụng của chủ được quy định theo thông tư của bộ TNMT</t>
  </si>
  <si>
    <t>Thông tin ghi hộ/ ông bà:  1 ghi là Hộ ông/Hộ bà, 0 ghi là Ông/Bà.</t>
  </si>
  <si>
    <t>Là người đại diện cho nhóm người: 1 là đại diện. 0 là không đại diện</t>
  </si>
  <si>
    <t>Họ tên chủ của thửa đất</t>
  </si>
  <si>
    <t xml:space="preserve">0: là nữ ; 1: là nam </t>
  </si>
  <si>
    <t>Là ngày, tháng, năm sinh của chủ (nếu có)</t>
  </si>
  <si>
    <t>Năm sinh của chủ thửa đất</t>
  </si>
  <si>
    <t>Loại giấy tờ pháp lý của chủ (CMND, CMQS, Hộ khẩu, Hộ chiếu, Giấy phép kinh doanh, …)</t>
  </si>
  <si>
    <t>Hộ gia đình cá nhân: Nếu có số CMND thì ghi CMND nếu ko có ghi số hộ khẩu
Chủ sử dụng tổ chức: ghi số của giấy phép kinh doanh, quyết định thành lập</t>
  </si>
  <si>
    <t>Thông tin về ngày cấp giấy tờ của chủ</t>
  </si>
  <si>
    <t>Tên đơn vị cấp giấy</t>
  </si>
  <si>
    <t>Tên đường của chủ</t>
  </si>
  <si>
    <t>địa chỉ chi tiết số nhà, ngõ…</t>
  </si>
  <si>
    <t>Tên tổ dân phố chủ</t>
  </si>
  <si>
    <t>Mã xã của chủ (5 ký tự, nếu chủ ở nơi khác (trường hợp đất xâm canh) thì phải chỉ ra chủ thuộc xã nào)</t>
  </si>
  <si>
    <t>Mã số thuế cá nhân</t>
  </si>
  <si>
    <t>Xã, huyện, tỉnh theo địa chỉ chủ</t>
  </si>
  <si>
    <t>Dân tộc của chủ</t>
  </si>
  <si>
    <t>Quốc tịch của chủ, mặc định là quốc tịch Việt Nam</t>
  </si>
  <si>
    <t>Số hiệu tờ bản đồ của thửa đất</t>
  </si>
  <si>
    <t>Số hiệu thửa của thửa đất</t>
  </si>
  <si>
    <t>Tỷ lệ đo đạc theo tờ bản đồ địa chính</t>
  </si>
  <si>
    <t>Tham khảo sheet LoaiBanDo</t>
  </si>
  <si>
    <t>Tên đơn vị đo đạc bản đồ</t>
  </si>
  <si>
    <t>Là phương pháp đo đạc</t>
  </si>
  <si>
    <t>Là mức độ chính xác</t>
  </si>
  <si>
    <t>Ngày hoàn thành đo đạc</t>
  </si>
  <si>
    <t>Phân loại theo quy định của Bộ TNMT: Loại A, Loại B, Loại C, Loại D, Loại E</t>
  </si>
  <si>
    <t>Diện tích trên bản đồ địa chính</t>
  </si>
  <si>
    <t>Mã loại đất quy định theo thông tư Bộ TNMT</t>
  </si>
  <si>
    <t>Mã loại đất quy hoạch</t>
  </si>
  <si>
    <t>Diện tích chi tiết theo mục đích sử dụng</t>
  </si>
  <si>
    <t>Diện tích sử dụng: 1 là sử dụng chung, 0 là sử dụng riêng</t>
  </si>
  <si>
    <t>Thời hạn sử dụng đất</t>
  </si>
  <si>
    <t>Nguồn gốc trên giấy được phiên ra mã nguồn gốc theo sheet NguonGoc</t>
  </si>
  <si>
    <t>Đối với trường hợp mã nguồn gốc đáp ứng thì nhập text vào ô này</t>
  </si>
  <si>
    <t>Thông tin về diện tích quy hoạch của thửa đất (nếu có)</t>
  </si>
  <si>
    <t>Dùng quản lý đơn đăng ký</t>
  </si>
  <si>
    <t>Ngày đăng ký đơn lần đầu của thửa đất</t>
  </si>
  <si>
    <t>Phân loại theo quy định của Bộ TNMT</t>
  </si>
  <si>
    <t>Số vào sổ trên GCN</t>
  </si>
  <si>
    <t>Ngày vào sổ trên GCN</t>
  </si>
  <si>
    <t>Ngày vào sổ trên sổ địa chính</t>
  </si>
  <si>
    <t>Người ký giấy chứng nhận</t>
  </si>
  <si>
    <t>1: có Ủy quyền, 0: không Ủy quyền</t>
  </si>
  <si>
    <t>1: có ký thay, 0: không ký thay</t>
  </si>
  <si>
    <t>Năm cấp ghi trên GCN</t>
  </si>
  <si>
    <t>Thông tin trên GCN</t>
  </si>
  <si>
    <t>Phân loại theo quy định Bộ TNMT: thông tư 75</t>
  </si>
  <si>
    <t>Diện tích hạn chế</t>
  </si>
  <si>
    <t>Thông tin văn bản hạn chế</t>
  </si>
  <si>
    <t>1: hạn chế 1 phần, 0: hạn chế toàn phần</t>
  </si>
  <si>
    <t>Thông tin về Nghĩa vụ tài chính, nếu có nhiều NVTC thì ngăn cách nhau bởi dấu ";"</t>
  </si>
  <si>
    <t>Thông tin về nhà ở riêng lẻ trên GCN</t>
  </si>
  <si>
    <t>Thông tin về Công trình, hạng mục công trình xây dựng</t>
  </si>
  <si>
    <t>Thông tin về Công trình ngầm</t>
  </si>
  <si>
    <t>Thông tin tài sản là Rừng trồng</t>
  </si>
  <si>
    <t>Thông tin tài sản là Cây lâu năm</t>
  </si>
  <si>
    <t>Thông tin liên quan đến GCN cũ</t>
  </si>
  <si>
    <t>Mã nhập</t>
  </si>
  <si>
    <t>Loại bản đồ nhập</t>
  </si>
  <si>
    <t>BỔ SUNG THÊM ĐƯỢC 71 TRƯỜNG THÔNG TIN SO VỚI EXCEL CŨ</t>
  </si>
  <si>
    <t>Diện tích tổng trên giấy chứng nhận, tương đương với trường tổng DT cũ</t>
  </si>
  <si>
    <t>Kiểm tra bất thường ngày tháng năm sinh</t>
  </si>
  <si>
    <t>Giống giá trị cột 94</t>
  </si>
  <si>
    <t>Tên thư mục Folder HSQ, dựa vào GT này để tìm HS quét</t>
  </si>
  <si>
    <t>Kiểm tra bất thường theo thông tin cột 9 (ví dụ tìm họ tên có chữ lót là thị, nếu giá trị trường số 9 =1, thì điều chỉnh lại =0 và ngược lại, nếu chữ lót là văn , mà giá trị trường số 9=0 thì điều chỉnh ngược lại  )</t>
  </si>
  <si>
    <t>Hướng dẫn thực hiện điều chỉnh 
cập nhật dữ liệu</t>
  </si>
  <si>
    <t>Kiểm tra bất thường năm sinh</t>
  </si>
  <si>
    <t>Kiểm tra độ dài của trường số 14;  len CMND =9, CCCD len =12
các bất thường khác kiểm tra trong hồ sơ quét</t>
  </si>
  <si>
    <t>Nếu trống thì đưa vào đơn vị hành  chính xã/phường</t>
  </si>
  <si>
    <t>Thông tin vợ (chồng): thực hiện điều chỉnh tương tự như nhóm thông tin Chủ sử dụng</t>
  </si>
  <si>
    <t xml:space="preserve"> chuyển về 1000 </t>
  </si>
  <si>
    <t>Chuẩn về 1 tên, nếu nơi cấp trùng nhau; (ví dụ Công an Bình Định; Công an tỉnh Bình định --&gt; Công an tỉnh Bình Định)</t>
  </si>
  <si>
    <t>1. dùng hàm vlookup để so sánh ở thẻ Mucdichsudungdat của iLIS và trong cột ViLIS hiện tại; VLOOKUP(BB5;[Excel_FormMau_v2.xlsx]MucDichSuDungDat!$C:$C;1;0)
2. Nếu mục đích đất ở đô thị mà đang ghi là ONT (ở nông thôn), thì đổi lại là ODT (ở đô thị)</t>
  </si>
  <si>
    <t>kiểm tra , nếu =0  thì điều chỉnh = tổng diện tích các mục đích sử dụng đất</t>
  </si>
  <si>
    <t>Tương tự trường 54</t>
  </si>
  <si>
    <t>Tương tự trường 56</t>
  </si>
  <si>
    <t>Map các trường 57;64;71;78 = với giá trị trường 93</t>
  </si>
  <si>
    <t>1: sử dụng chung (đồng sử dụng, 1 thửa có từ 2 Họ và Tên người sử dụng KHÁC nhau); 0: sử dụng riêng</t>
  </si>
  <si>
    <t>CMND vẫn có 12 số</t>
  </si>
  <si>
    <t>Đối với xã chưa có hoặc chưa được cung cấp từ VPDK thì để mặc định 1000</t>
  </si>
  <si>
    <t>Kiểm tra nếu =0 thì cộng dt các MDSD vào (nếu các MDSD không có thì thống nhất với VPDK xóa bỏ dòng vì thửa đất phải có dt)</t>
  </si>
  <si>
    <t>Nếu=0 thì kiểm tra cột 53 để bổ sung</t>
  </si>
  <si>
    <t>Nếu có địa chỉ đơn vị hành chính: xóa cái duôi đơn vị hành chính (thừa giữ lại; chỉ giữ lại số nhà, ngõ phố)</t>
  </si>
  <si>
    <t>Có thể map "VlookUp" với sheet NguonGocSuDungDat để kiểm tra những mã không đúng hoặc để đẩy vào phần mềm báo lỗi thì sửa</t>
  </si>
  <si>
    <t>Bổ sung những trường còn trống (Đối với tên chủ là cá nhân thì để GDC, tên chủ là Tổ chức thì để theo sheet "DoiTuongSuDung")</t>
  </si>
  <si>
    <t>Bỏ qua cột này</t>
  </si>
  <si>
    <t>Phường Trần Hưng Đạo</t>
  </si>
  <si>
    <t>Phường Việt Hưng</t>
  </si>
  <si>
    <t>Phường Quang Trung</t>
  </si>
  <si>
    <t>Phường Bạch Đằng</t>
  </si>
  <si>
    <t>Phường Trần Phú</t>
  </si>
  <si>
    <t>Xã Bắc Sơn</t>
  </si>
  <si>
    <t>Xã Nam Sơn</t>
  </si>
  <si>
    <t>Xã Tân Dân</t>
  </si>
  <si>
    <t>Xã Thanh Lâm</t>
  </si>
  <si>
    <t>Xã Vạn Yên</t>
  </si>
  <si>
    <t>Xã Tiền Phong</t>
  </si>
  <si>
    <t>Xã Minh Châu</t>
  </si>
  <si>
    <t>Xã Tân Lập</t>
  </si>
  <si>
    <t>Xã Hòa Bình</t>
  </si>
  <si>
    <t>Xã Lê Lợi</t>
  </si>
  <si>
    <t>Xã Thắng Lợi</t>
  </si>
  <si>
    <t>Xã Thống Nhất</t>
  </si>
  <si>
    <t>Xã Đồng Tiến</t>
  </si>
  <si>
    <t>Xã Đồng Tâm</t>
  </si>
  <si>
    <t>Xã Tiên Yên</t>
  </si>
  <si>
    <t>Xã Quảng Lâm</t>
  </si>
  <si>
    <t>Xã Dân Chủ</t>
  </si>
  <si>
    <t>Xã Nguyễn Huệ</t>
  </si>
  <si>
    <t>Xã Bản Sen</t>
  </si>
  <si>
    <t>Phường Hồng Hà</t>
  </si>
  <si>
    <t>Phường Tân An</t>
  </si>
  <si>
    <t>Xã Đoàn Kết</t>
  </si>
  <si>
    <t>Xã Thanh Sơn</t>
  </si>
  <si>
    <t>Phường Trưng Vương</t>
  </si>
  <si>
    <t>Phường Bắc Sơn</t>
  </si>
  <si>
    <t>Phường Hà Khánh</t>
  </si>
  <si>
    <t>Phường Hà Phong</t>
  </si>
  <si>
    <t>Phường Hà Khẩu</t>
  </si>
  <si>
    <t>Phường Cao Xanh</t>
  </si>
  <si>
    <t>Phường Giếng Đáy</t>
  </si>
  <si>
    <t>Phường Hà Tu</t>
  </si>
  <si>
    <t>Phường Hà Trung</t>
  </si>
  <si>
    <t>Phường Hà Lầm</t>
  </si>
  <si>
    <t>Phường Bãi Cháy</t>
  </si>
  <si>
    <t>Phường Cao Thắng</t>
  </si>
  <si>
    <t>Phường Hùng Thắng</t>
  </si>
  <si>
    <t>Phường Hồng Hải</t>
  </si>
  <si>
    <t>Phường Hồng Gai</t>
  </si>
  <si>
    <t>Phường Tuần Châu</t>
  </si>
  <si>
    <t>Phường Đại Yên</t>
  </si>
  <si>
    <t>Phường Hoành Bồ</t>
  </si>
  <si>
    <t>Xã Kỳ Thượng</t>
  </si>
  <si>
    <t>Xã Đồng Sơn</t>
  </si>
  <si>
    <t>Xã Đồng Lâm</t>
  </si>
  <si>
    <t>Xã Vũ Oai</t>
  </si>
  <si>
    <t>Xã Quảng La</t>
  </si>
  <si>
    <t>Xã Bằng Cả</t>
  </si>
  <si>
    <t>Xã Sơn Dương</t>
  </si>
  <si>
    <t>Phường Ka Long</t>
  </si>
  <si>
    <t>Phường Ninh Dương</t>
  </si>
  <si>
    <t>Phường Trà Cổ</t>
  </si>
  <si>
    <t>Xã Hải Sơn</t>
  </si>
  <si>
    <t>Xã Hải Đông</t>
  </si>
  <si>
    <t>Xã Hải Tiến</t>
  </si>
  <si>
    <t>Phường Hải Yên</t>
  </si>
  <si>
    <t>Xã Quảng Nghĩa</t>
  </si>
  <si>
    <t>Xã Hải Xuân</t>
  </si>
  <si>
    <t>Xã Vạn Ninh</t>
  </si>
  <si>
    <t>Phường Bình Ngọc</t>
  </si>
  <si>
    <t>Xã Vĩnh Trung</t>
  </si>
  <si>
    <t>Xã Vĩnh Thực</t>
  </si>
  <si>
    <t>Phường Mông Dương</t>
  </si>
  <si>
    <t>Phường Cửa Ông</t>
  </si>
  <si>
    <t>Phường Cẩm Sơn</t>
  </si>
  <si>
    <t>Phường Cẩm Đông</t>
  </si>
  <si>
    <t>Phường Cẩm Phú</t>
  </si>
  <si>
    <t>Phường Cẩm Tây</t>
  </si>
  <si>
    <t>Phường Quang Hanh</t>
  </si>
  <si>
    <t>Phường Cẩm Thịnh</t>
  </si>
  <si>
    <t>Phường Cẩm Thủy</t>
  </si>
  <si>
    <t>Phường Cẩm Thạch</t>
  </si>
  <si>
    <t>Phường Cẩm Thành</t>
  </si>
  <si>
    <t>Phường Cẩm Trung</t>
  </si>
  <si>
    <t>Phường Cẩm Bình</t>
  </si>
  <si>
    <t>Xã Dương Huy</t>
  </si>
  <si>
    <t>Phường Vàng Danh</t>
  </si>
  <si>
    <t>Phường Thanh Sơn</t>
  </si>
  <si>
    <t>Phường Nam Khê</t>
  </si>
  <si>
    <t>Phường Yên Thanh</t>
  </si>
  <si>
    <t>Xã Thượng Yên Công</t>
  </si>
  <si>
    <t>Phường Phương Đông</t>
  </si>
  <si>
    <t>Phường Phương Nam</t>
  </si>
  <si>
    <t>Thị trấn Bình Liêu</t>
  </si>
  <si>
    <t>Xã Hoành Mô</t>
  </si>
  <si>
    <t>Xã Đồng Văn</t>
  </si>
  <si>
    <t>Xã Vô Ngại</t>
  </si>
  <si>
    <t>Xã Lục Hồn</t>
  </si>
  <si>
    <t>Xã Húc Động</t>
  </si>
  <si>
    <t>Thị trấn Tiên Yên</t>
  </si>
  <si>
    <t>Xã Hà Lâu</t>
  </si>
  <si>
    <t>Xã Đại Dực</t>
  </si>
  <si>
    <t>Xã Phong Dụ</t>
  </si>
  <si>
    <t>Xã Điền Xá</t>
  </si>
  <si>
    <t>Xã Đông Ngũ</t>
  </si>
  <si>
    <t>Xã Yên Than</t>
  </si>
  <si>
    <t>Xã Đông Hải</t>
  </si>
  <si>
    <t>Xã Hải Lạng</t>
  </si>
  <si>
    <t>Xã Tiên Lãng</t>
  </si>
  <si>
    <t>Xã Đồng Rui</t>
  </si>
  <si>
    <t>Thị trấn Đầm Hà</t>
  </si>
  <si>
    <t>Xã Quảng An</t>
  </si>
  <si>
    <t>Xã Tân Bình</t>
  </si>
  <si>
    <t>Xã Dực Yên</t>
  </si>
  <si>
    <t>Xã Quảng Tân</t>
  </si>
  <si>
    <t>Xã Đầm Hà</t>
  </si>
  <si>
    <t>Xã Đại Bình</t>
  </si>
  <si>
    <t>Thị trấn Quảng Hà</t>
  </si>
  <si>
    <t>Xã Quảng Đức</t>
  </si>
  <si>
    <t>Xã Quảng Sơn</t>
  </si>
  <si>
    <t>Xã Quảng Thành</t>
  </si>
  <si>
    <t>Xã Quảng Thịnh</t>
  </si>
  <si>
    <t>Xã Quảng Minh</t>
  </si>
  <si>
    <t>Xã Quảng Chính</t>
  </si>
  <si>
    <t>Xã Quảng Long</t>
  </si>
  <si>
    <t>Xã Đường Hoa</t>
  </si>
  <si>
    <t>Xã Quảng Phong</t>
  </si>
  <si>
    <t>Xã Cái Chiên</t>
  </si>
  <si>
    <t>Thị trấn Ba Chẽ</t>
  </si>
  <si>
    <t>Xã Đạp Thanh</t>
  </si>
  <si>
    <t>Xã Đồn Đạc</t>
  </si>
  <si>
    <t>Thị trấn Cái Rồng</t>
  </si>
  <si>
    <t>Xã Đài Xuyên</t>
  </si>
  <si>
    <t>Xã Bình Dân</t>
  </si>
  <si>
    <t>Xã Hạ Long</t>
  </si>
  <si>
    <t>Xã Đông Xá</t>
  </si>
  <si>
    <t>Xã Quan Lạn</t>
  </si>
  <si>
    <t>Xã Ngọc Vừng</t>
  </si>
  <si>
    <t>Phường Mạo Khê</t>
  </si>
  <si>
    <t>Phường Đông Triều</t>
  </si>
  <si>
    <t>Xã An Sinh</t>
  </si>
  <si>
    <t>Xã Tràng Lương</t>
  </si>
  <si>
    <t>Xã Việt Dân</t>
  </si>
  <si>
    <t>Phường Đức Chính</t>
  </si>
  <si>
    <t>Phường Tràng An</t>
  </si>
  <si>
    <t>Phường Xuân Sơn</t>
  </si>
  <si>
    <t>Xã Hồng Thái Tây</t>
  </si>
  <si>
    <t>Xã Hồng Thái Đông</t>
  </si>
  <si>
    <t>Phường Hoàng Quế</t>
  </si>
  <si>
    <t>Phường Yên Thọ</t>
  </si>
  <si>
    <t>Phường Hồng Phong</t>
  </si>
  <si>
    <t>Phường Kim Sơn</t>
  </si>
  <si>
    <t>Phường Hưng Đạo</t>
  </si>
  <si>
    <t>Phường Quảng Yên</t>
  </si>
  <si>
    <t>Phường Đông Mai</t>
  </si>
  <si>
    <t>Phường Minh Thành</t>
  </si>
  <si>
    <t>Xã Sông Khoai</t>
  </si>
  <si>
    <t>Xã Hiệp Hòa</t>
  </si>
  <si>
    <t>Phường Cộng Hòa</t>
  </si>
  <si>
    <t>Xã Tiền An</t>
  </si>
  <si>
    <t>Xã Hoàng Tân</t>
  </si>
  <si>
    <t>Phường Yên Giang</t>
  </si>
  <si>
    <t>Phường Hà An</t>
  </si>
  <si>
    <t>Xã Cẩm La</t>
  </si>
  <si>
    <t>Phường Phong Hải</t>
  </si>
  <si>
    <t>Phường Yên Hải</t>
  </si>
  <si>
    <t>Xã Liên Hòa</t>
  </si>
  <si>
    <t>Phường Phong Cốc</t>
  </si>
  <si>
    <t>Xã Liên Vị</t>
  </si>
  <si>
    <t>Thị trấn Cô Tô</t>
  </si>
  <si>
    <t>Xã Thanh Lân</t>
  </si>
  <si>
    <t>Phường An Sinh</t>
  </si>
  <si>
    <t>Phường Hạ Long</t>
  </si>
  <si>
    <t>Xã Hải Ninh</t>
  </si>
  <si>
    <t>Xã Hải Hòa</t>
  </si>
  <si>
    <t>Phường Hải Hòa</t>
  </si>
  <si>
    <t>Phường Hiệp Hòa</t>
  </si>
  <si>
    <t>BQ 616331</t>
  </si>
  <si>
    <t>0</t>
  </si>
  <si>
    <t>Phạm Thế Huân</t>
  </si>
  <si>
    <t>1975</t>
  </si>
  <si>
    <t>031075000851</t>
  </si>
  <si>
    <t>09/03/2015</t>
  </si>
  <si>
    <t>CỤC CẢNH SÁT ĐKQL CƯ TRÚ VÀ DLQG VỀ DÂN CƯ</t>
  </si>
  <si>
    <t>Tổ 6 - Khu 4A, Phường Cẩm Trung, Thành phố Cẩm Phả, Tỉnh Quảng Ninh</t>
  </si>
  <si>
    <t>Phạm Thị Ngọc Bích</t>
  </si>
  <si>
    <t>1980</t>
  </si>
  <si>
    <t>100676344</t>
  </si>
  <si>
    <t>07/04/2011</t>
  </si>
  <si>
    <t>Công an tỉnh Quảng Ninh</t>
  </si>
  <si>
    <t>CH00051</t>
  </si>
  <si>
    <t>20/01/2016</t>
  </si>
  <si>
    <t>Nguyễn Hải Khiên</t>
  </si>
  <si>
    <t>2016</t>
  </si>
  <si>
    <t>Lệ phí thuế trước bạ</t>
  </si>
  <si>
    <t>3527000</t>
  </si>
  <si>
    <t>14/12/2015</t>
  </si>
  <si>
    <t>Căn hộ chung cư</t>
  </si>
  <si>
    <t>315</t>
  </si>
  <si>
    <t>89.72</t>
  </si>
  <si>
    <t>chung cư A1</t>
  </si>
  <si>
    <t>30 năm</t>
  </si>
  <si>
    <t>khu chung cư cao tầng Cẩm Bình</t>
  </si>
  <si>
    <t>Được quyền sử dụng đối với các phần diện tích thuộc sở hữu chung trong nhà chung cư như hành lang, lối đi chung, cầu thang,..</t>
  </si>
  <si>
    <t>Đã hoàn thành</t>
  </si>
  <si>
    <t>Tổ chức</t>
  </si>
  <si>
    <t>Quyết định thành lập</t>
  </si>
  <si>
    <t>Giấy phép đầu tư</t>
  </si>
  <si>
    <t>Giấy chứng nhận đầu tư</t>
  </si>
  <si>
    <t>Nguồn gốc biến động</t>
  </si>
  <si>
    <t>Nguồn gốc cấp
GCN lần đầu</t>
  </si>
  <si>
    <t>Nguồn gốc chi tiết</t>
  </si>
  <si>
    <t>183</t>
  </si>
  <si>
    <t>184</t>
  </si>
  <si>
    <t>185</t>
  </si>
  <si>
    <t>186</t>
  </si>
  <si>
    <t>Giá trị</t>
  </si>
  <si>
    <t>Công nhận QSDĐ như giao đất có thu tiền sử dụng đất</t>
  </si>
  <si>
    <t>Công nhận QSDĐ như giao đất không thu tiền sử dụng đất</t>
  </si>
  <si>
    <t>Nhà nước cho thuê đất trả tiền hàng năm</t>
  </si>
  <si>
    <t>Thuê đất của doanh nghiệp đầu tư hạ tầng khu công nghiệp, khu kinh tế, khu công nghệ cao</t>
  </si>
  <si>
    <t>Thuê đất trả tiền hàng năm của doanh nghiệp đầu tư hạ tầng khu công nghiệp, khi kinh tế, khu công nghệ cao</t>
  </si>
  <si>
    <t>NCQ-1</t>
  </si>
  <si>
    <t>NCQ-2</t>
  </si>
  <si>
    <t>NCQ-3</t>
  </si>
  <si>
    <t>NCQ-4</t>
  </si>
  <si>
    <t>NCQ-5</t>
  </si>
  <si>
    <t>NCQ-6</t>
  </si>
  <si>
    <t>NCQ-7</t>
  </si>
  <si>
    <t>NCQ-8</t>
  </si>
  <si>
    <t>NCQ-9</t>
  </si>
  <si>
    <t>NCQ-10</t>
  </si>
  <si>
    <t>CDQ</t>
  </si>
  <si>
    <t>Cộng đồng dân cư được giao quản lý</t>
  </si>
  <si>
    <t>CNC</t>
  </si>
  <si>
    <t>Cá nhân trong nước, người Việt Nam định cư ở nước ngoài là công dân Việt Nam</t>
  </si>
  <si>
    <t>CNV</t>
  </si>
  <si>
    <t>Cá nhân trong nước</t>
  </si>
  <si>
    <t>NGV</t>
  </si>
  <si>
    <t>Người gốc Việt Nam định cư ở nước ngoài</t>
  </si>
  <si>
    <t>TTG</t>
  </si>
  <si>
    <t>Tổ chức tôn giáo, tổ chức tôn giáo trực thuộc</t>
  </si>
  <si>
    <t>TXH</t>
  </si>
  <si>
    <t>Tổ chức xã hội, tổ chức xã hội - nghề nghiệp</t>
  </si>
  <si>
    <t>TCQ</t>
  </si>
  <si>
    <t>Cơ quan nhà nước, cơ quan đảng và đơn vị vũ trang nhân dân được giao quản lý đất</t>
  </si>
  <si>
    <t>TSQ</t>
  </si>
  <si>
    <t>Đơn vị sự nghiệp công lập được giao quản lý đất</t>
  </si>
  <si>
    <t>KTQ</t>
  </si>
  <si>
    <t>Tổ chức kinh tế được giao quản lý đất</t>
  </si>
  <si>
    <t>Địa chỉ chi tiết: Số nhà, ngõ phố…</t>
  </si>
  <si>
    <t>Tiền sử dụng đất: Tiền SDĐ</t>
  </si>
  <si>
    <t>Thuế sử dụng đất: Thuế SDĐ</t>
  </si>
  <si>
    <t>Lệ phí trước bạ: TPTB</t>
  </si>
  <si>
    <t>Tiền thuê đất hàng năm: THN</t>
  </si>
  <si>
    <t>Thuế thu nhập từ chuyển nhượng bất động sản: TTN</t>
  </si>
  <si>
    <t>Nhóm đất nông nghiệp</t>
  </si>
  <si>
    <t>Đất trồng cây hằng năm</t>
  </si>
  <si>
    <t>CHN</t>
  </si>
  <si>
    <t>Đất trồng lúa</t>
  </si>
  <si>
    <t>Đất chuyên trồng lúa</t>
  </si>
  <si>
    <t>Đất trồng lúa còn lại</t>
  </si>
  <si>
    <t>Đất trồng cây hằng năm khác</t>
  </si>
  <si>
    <t>Đất lâm nghiệp</t>
  </si>
  <si>
    <t>Trong đó: Đất rừng sản xuất là rừng tự nhiên</t>
  </si>
  <si>
    <t>Đất chăn nuôi tập trung</t>
  </si>
  <si>
    <t>Nhóm đất phi nông nghiệp</t>
  </si>
  <si>
    <t>Đất ở</t>
  </si>
  <si>
    <t>Đất quốc phòng, an ninh</t>
  </si>
  <si>
    <t>Đất xây dựng công trình sự nghiệp</t>
  </si>
  <si>
    <t>Đất xây dựng cơ sở thể dục, thể thao</t>
  </si>
  <si>
    <t>Đất xây dựng cơ sở môi trường</t>
  </si>
  <si>
    <t>Đất xây dựng cơ sở khí tượng thủy văn</t>
  </si>
  <si>
    <t>Đất sản xuất, kinh doanh phi nông nghiệp</t>
  </si>
  <si>
    <t>Đất khu công nghiệp, cụm công nghiệp</t>
  </si>
  <si>
    <t>Đất khu công nghệ thông tin tập trung</t>
  </si>
  <si>
    <t>Đất sử dụng vào mục đích công cộng</t>
  </si>
  <si>
    <t>Đất công trình giao thông</t>
  </si>
  <si>
    <t>Đất công trình thủy lợi</t>
  </si>
  <si>
    <t>Đất công trình cấp nước, thoát nước</t>
  </si>
  <si>
    <t>Đất công trình phòng, chống thiên tai</t>
  </si>
  <si>
    <t>Đất có di tích lịch sử - văn hóa, danh lam thắng cảnh, di sản thiên nhiên</t>
  </si>
  <si>
    <t>Nhóm đất chưa sử dụng</t>
  </si>
  <si>
    <t>Đất có mặt nước chưa sử dụng</t>
  </si>
  <si>
    <t>Giấy chứng nhận QSDĐ, QSHTSGLVĐ năm 2024</t>
  </si>
  <si>
    <t>Các loại GCN khác</t>
  </si>
  <si>
    <t>Rơ măm</t>
  </si>
  <si>
    <t>Người nước ngoài</t>
  </si>
  <si>
    <t>Không rõ</t>
  </si>
  <si>
    <t>Tên tiếng anh</t>
  </si>
  <si>
    <t>AFG</t>
  </si>
  <si>
    <t>Afghanistan</t>
  </si>
  <si>
    <t>ALB</t>
  </si>
  <si>
    <t>Albania</t>
  </si>
  <si>
    <t>ATA</t>
  </si>
  <si>
    <t>Antarctica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</si>
  <si>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</si>
  <si>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</si>
  <si>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</si>
  <si>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</si>
  <si>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</si>
  <si>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</si>
  <si>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</si>
  <si>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</si>
  <si>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</si>
  <si>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</si>
  <si>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</si>
  <si>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</si>
  <si>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</si>
  <si>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</si>
  <si>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</si>
  <si>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</si>
  <si>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</si>
  <si>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</si>
  <si>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</si>
  <si>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 (the)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</si>
  <si>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</si>
  <si>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</si>
  <si>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</si>
  <si>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</si>
  <si>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</si>
  <si>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</si>
  <si>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</si>
  <si>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</si>
  <si>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</si>
  <si>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</si>
  <si>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</si>
  <si>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</si>
  <si>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</si>
  <si>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</si>
  <si>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</si>
  <si>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</si>
  <si>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</si>
  <si>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</si>
  <si>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</si>
  <si>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</si>
  <si>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</si>
  <si>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</si>
  <si>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</si>
  <si>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</si>
  <si>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</si>
  <si>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</si>
  <si>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</si>
  <si>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 (the)</t>
  </si>
  <si>
    <t>SLB</t>
  </si>
  <si>
    <t>Solomon Islands</t>
  </si>
  <si>
    <t>VGB</t>
  </si>
  <si>
    <t>Virgin Islands (British)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</si>
  <si>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</si>
  <si>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</si>
  <si>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</si>
  <si>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</si>
  <si>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</si>
  <si>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</si>
  <si>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</si>
  <si>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</si>
  <si>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</si>
  <si>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</si>
  <si>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</si>
  <si>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</si>
  <si>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</si>
  <si>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</si>
  <si>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Canada</t>
  </si>
  <si>
    <t>CPV</t>
  </si>
  <si>
    <t>Cabo Verde</t>
  </si>
  <si>
    <t>CYM</t>
  </si>
  <si>
    <t>Cayman Islands (the)</t>
  </si>
  <si>
    <t>CAF</t>
  </si>
  <si>
    <t>Central African Republic (the)</t>
  </si>
  <si>
    <t>LKA</t>
  </si>
  <si>
    <t>Sri Lanka</t>
  </si>
  <si>
    <t>TCD</t>
  </si>
  <si>
    <t>Chad</t>
  </si>
  <si>
    <t>CHL</t>
  </si>
  <si>
    <t>Chile</t>
  </si>
  <si>
    <t>China</t>
  </si>
  <si>
    <t>TWN</t>
  </si>
  <si>
    <t>Taiwan (Province of China)</t>
  </si>
  <si>
    <t>CXR</t>
  </si>
  <si>
    <t>Christmas Island</t>
  </si>
  <si>
    <t>CCK</t>
  </si>
  <si>
    <t>Cocos (Keeling) Islands (the)</t>
  </si>
  <si>
    <t>COL</t>
  </si>
  <si>
    <t>Colombia</t>
  </si>
  <si>
    <t>COM</t>
  </si>
  <si>
    <t>Comoros (the)</t>
  </si>
  <si>
    <t>MYT</t>
  </si>
  <si>
    <t>Mayotte</t>
  </si>
  <si>
    <t>COG</t>
  </si>
  <si>
    <t>Congo (the)</t>
  </si>
  <si>
    <t>COD</t>
  </si>
  <si>
    <t>Congo (the Democratic Republic of the)</t>
  </si>
  <si>
    <t>COK</t>
  </si>
  <si>
    <t>Cook Islands (the)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</si>
  <si>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</si>
  <si>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</si>
  <si>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</si>
  <si>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</si>
  <si>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</si>
  <si>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</si>
  <si>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</si>
  <si>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</si>
  <si>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</si>
  <si>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 Republic (the)</t>
  </si>
  <si>
    <t>BEN</t>
  </si>
  <si>
    <t>Benin</t>
  </si>
  <si>
    <t>DNK</t>
  </si>
  <si>
    <t>Denmark</t>
  </si>
  <si>
    <t>DMA</t>
  </si>
  <si>
    <t>Dominica</t>
  </si>
  <si>
    <t>DOM</t>
  </si>
  <si>
    <t>Dominican Republic (the)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</si>
  <si>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</si>
  <si>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</si>
  <si>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</si>
  <si>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</si>
  <si>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</si>
  <si>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</si>
  <si>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</si>
  <si>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</si>
  <si>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</si>
  <si>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</si>
  <si>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</si>
  <si>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</si>
  <si>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</si>
  <si>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 (the)</t>
  </si>
  <si>
    <t>FLK</t>
  </si>
  <si>
    <t>Falkland Islands (the) [Malvinas]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</si>
  <si>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</si>
  <si>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</si>
  <si>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</si>
  <si>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</si>
  <si>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</si>
  <si>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</si>
  <si>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</si>
  <si>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</si>
  <si>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</si>
  <si>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</si>
  <si>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</si>
  <si>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</si>
  <si>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</si>
  <si>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</si>
  <si>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</si>
  <si>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 (the)</t>
  </si>
  <si>
    <t>DJI</t>
  </si>
  <si>
    <t>Djibouti</t>
  </si>
  <si>
    <t>GAB</t>
  </si>
  <si>
    <t>Gabon</t>
  </si>
  <si>
    <t>GEO</t>
  </si>
  <si>
    <t>Georgia</t>
  </si>
  <si>
    <t>GMB</t>
  </si>
  <si>
    <t>Gambia (the)</t>
  </si>
  <si>
    <t>PSE</t>
  </si>
  <si>
    <t>Palestine, State of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</si>
  <si>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</si>
  <si>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</si>
  <si>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</si>
  <si>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</si>
  <si>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</si>
  <si>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</si>
  <si>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</si>
  <si>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</si>
  <si>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</si>
  <si>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</si>
  <si>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</si>
  <si>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</si>
  <si>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</si>
  <si>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</si>
  <si>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</si>
  <si>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</si>
  <si>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</si>
  <si>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</si>
  <si>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</si>
  <si>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</si>
  <si>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</si>
  <si>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</si>
  <si>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</si>
  <si>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</si>
  <si>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</si>
  <si>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</si>
  <si>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</si>
  <si>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</si>
  <si>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</si>
  <si>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 (the)</t>
  </si>
  <si>
    <t>HND</t>
  </si>
  <si>
    <t>Honduras</t>
  </si>
  <si>
    <t>HKG</t>
  </si>
  <si>
    <t>Hong Kong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</si>
  <si>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</si>
  <si>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</si>
  <si>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</si>
  <si>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</si>
  <si>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</si>
  <si>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</si>
  <si>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</si>
  <si>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</si>
  <si>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</si>
  <si>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</si>
  <si>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</si>
  <si>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</si>
  <si>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</si>
  <si>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</si>
  <si>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</si>
  <si>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</si>
  <si>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</si>
  <si>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</si>
  <si>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</si>
  <si>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d'Ivoire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</si>
  <si>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</si>
  <si>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</si>
  <si>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</si>
  <si>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</si>
  <si>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</si>
  <si>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</si>
  <si>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</si>
  <si>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</si>
  <si>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</si>
  <si>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</si>
  <si>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</si>
  <si>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Korea (the Democratic People's Republic of)</t>
  </si>
  <si>
    <t>KOR</t>
  </si>
  <si>
    <t>Korea (the Republic of)</t>
  </si>
  <si>
    <t>KWT</t>
  </si>
  <si>
    <t>Kuwait</t>
  </si>
  <si>
    <t>KGZ</t>
  </si>
  <si>
    <t>Kyrgyzstan</t>
  </si>
  <si>
    <t>LAO</t>
  </si>
  <si>
    <t>Lao People's Democratic Republic (the)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</si>
  <si>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</si>
  <si>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</si>
  <si>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</si>
  <si>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</si>
  <si>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</si>
  <si>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</si>
  <si>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</si>
  <si>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</si>
  <si>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</si>
  <si>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</si>
  <si>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</si>
  <si>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</si>
  <si>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</si>
  <si>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</si>
  <si>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</si>
  <si>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</si>
  <si>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</si>
  <si>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Macao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</si>
  <si>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</si>
  <si>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</si>
  <si>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</si>
  <si>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</si>
  <si>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</si>
  <si>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</si>
  <si>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</si>
  <si>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</si>
  <si>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</si>
  <si>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</si>
  <si>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</si>
  <si>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</si>
  <si>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</si>
  <si>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</si>
  <si>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</si>
  <si>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</si>
  <si>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</si>
  <si>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</si>
  <si>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</si>
  <si>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</si>
  <si>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</si>
  <si>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</si>
  <si>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</si>
  <si>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</si>
  <si>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</si>
  <si>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Moldova (the Republic of)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</si>
  <si>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</si>
  <si>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</si>
  <si>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</si>
  <si>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</si>
  <si>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</si>
  <si>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</si>
  <si>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</si>
  <si>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</si>
  <si>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</si>
  <si>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</si>
  <si>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</si>
  <si>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</si>
  <si>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</si>
  <si>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Nauru</t>
  </si>
  <si>
    <t>NPL</t>
  </si>
  <si>
    <t>Nepal</t>
  </si>
  <si>
    <t>NLD</t>
  </si>
  <si>
    <t>Netherlands (the)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</si>
  <si>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</si>
  <si>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</si>
  <si>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</si>
  <si>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</si>
  <si>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</si>
  <si>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</si>
  <si>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</si>
  <si>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</si>
  <si>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</si>
  <si>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</si>
  <si>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</si>
  <si>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</si>
  <si>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</si>
  <si>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</si>
  <si>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</si>
  <si>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</si>
  <si>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</si>
  <si>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 (the)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</si>
  <si>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</si>
  <si>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</si>
  <si>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</si>
  <si>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</si>
  <si>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</si>
  <si>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</si>
  <si>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</si>
  <si>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</si>
  <si>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</si>
  <si>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 (the)</t>
  </si>
  <si>
    <t>UMI</t>
  </si>
  <si>
    <t>United States Minor Outlying Islands (the)</t>
  </si>
  <si>
    <t>FSM</t>
  </si>
  <si>
    <t>Micronesia (Federated States of)</t>
  </si>
  <si>
    <t>MHL</t>
  </si>
  <si>
    <t>Marshall Islands (the)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</si>
  <si>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</si>
  <si>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</si>
  <si>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</si>
  <si>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</si>
  <si>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</si>
  <si>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</si>
  <si>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</si>
  <si>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</si>
  <si>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</si>
  <si>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</si>
  <si>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</si>
  <si>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</si>
  <si>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</si>
  <si>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 (the)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</si>
  <si>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</si>
  <si>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</si>
  <si>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</si>
  <si>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</si>
  <si>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</si>
  <si>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</si>
  <si>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</si>
  <si>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</si>
  <si>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</si>
  <si>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</si>
  <si>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</si>
  <si>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</si>
  <si>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</si>
  <si>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</si>
  <si>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</si>
  <si>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</si>
  <si>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</si>
  <si>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</si>
  <si>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</si>
  <si>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 (the)</t>
  </si>
  <si>
    <t>RWA</t>
  </si>
  <si>
    <t>Rwanda</t>
  </si>
  <si>
    <t>BLM</t>
  </si>
  <si>
    <t>Saint Barthélemy</t>
  </si>
  <si>
    <t>SHN</t>
  </si>
  <si>
    <t>Saint Helena, Ascension and Tristan da Cunha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</si>
  <si>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</si>
  <si>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</si>
  <si>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</si>
  <si>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</si>
  <si>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</si>
  <si>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</si>
  <si>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</si>
  <si>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</si>
  <si>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</si>
  <si>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</si>
  <si>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</si>
  <si>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</si>
  <si>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</si>
  <si>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</si>
  <si>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</si>
  <si>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</si>
  <si>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</si>
  <si>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</si>
  <si>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</si>
  <si>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</si>
  <si>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</si>
  <si>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</si>
  <si>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</si>
  <si>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</si>
  <si>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</si>
  <si>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</si>
  <si>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</si>
  <si>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</si>
  <si>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</si>
  <si>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</si>
  <si>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</si>
  <si>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</si>
  <si>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</si>
  <si>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</si>
  <si>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</si>
  <si>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</si>
  <si>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</si>
  <si>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</si>
  <si>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</si>
  <si>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</si>
  <si>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</si>
  <si>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</si>
  <si>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</si>
  <si>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</si>
  <si>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</si>
  <si>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 (the)</t>
  </si>
  <si>
    <t>ESH</t>
  </si>
  <si>
    <t>Western Sahara*</t>
  </si>
  <si>
    <t>SUR</t>
  </si>
  <si>
    <t>Suriname</t>
  </si>
  <si>
    <t>SJM</t>
  </si>
  <si>
    <t>Svalbard and Jan Mayen</t>
  </si>
  <si>
    <t>SWZ</t>
  </si>
  <si>
    <t>Swaziland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</si>
  <si>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</si>
  <si>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</si>
  <si>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</si>
  <si>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</si>
  <si>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</si>
  <si>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</si>
  <si>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</si>
  <si>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</si>
  <si>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</si>
  <si>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</si>
  <si>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</si>
  <si>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</si>
  <si>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</si>
  <si>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</si>
  <si>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Tonga</t>
  </si>
  <si>
    <t>TTO</t>
  </si>
  <si>
    <t>Trinidad and Tobago</t>
  </si>
  <si>
    <t>ARE</t>
  </si>
  <si>
    <t>United Arab Emirates (the)</t>
  </si>
  <si>
    <t>TUN</t>
  </si>
  <si>
    <t>Tunisia</t>
  </si>
  <si>
    <t>TUR</t>
  </si>
  <si>
    <t>Turkey</t>
  </si>
  <si>
    <t>TKM</t>
  </si>
  <si>
    <t>Turkmenistan</t>
  </si>
  <si>
    <t>TCA</t>
  </si>
  <si>
    <t>Turks and Caicos Islands (the)</t>
  </si>
  <si>
    <t>TUV</t>
  </si>
  <si>
    <t>Tuvalu</t>
  </si>
  <si>
    <t>UGA</t>
  </si>
  <si>
    <t>Uganda</t>
  </si>
  <si>
    <t>UKR</t>
  </si>
  <si>
    <t>Ukraine</t>
  </si>
  <si>
    <t>MKD</t>
  </si>
  <si>
    <t>Macedonia (the former Yugoslav Republic of)</t>
  </si>
  <si>
    <t>EGY</t>
  </si>
  <si>
    <t>Egypt</t>
  </si>
  <si>
    <t>GBR</t>
  </si>
  <si>
    <t>United Kingdom of Great Britain and Northern Ireland (the)</t>
  </si>
  <si>
    <t>GGY</t>
  </si>
  <si>
    <t>Guernsey</t>
  </si>
  <si>
    <t>JEY</t>
  </si>
  <si>
    <t>Jersey</t>
  </si>
  <si>
    <t>IMN</t>
  </si>
  <si>
    <t>Isle of Man</t>
  </si>
  <si>
    <t>TZA</t>
  </si>
  <si>
    <t>Tanzania, United Republic of</t>
  </si>
  <si>
    <t>USA</t>
  </si>
  <si>
    <t>United States of America (the)</t>
  </si>
  <si>
    <t>VIR</t>
  </si>
  <si>
    <t>Virgin Islands (U.S.)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</si>
  <si>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</si>
  <si>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</si>
  <si>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</si>
  <si>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</si>
  <si>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</si>
  <si>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</si>
  <si>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</si>
  <si>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</si>
  <si>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</si>
  <si>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</si>
  <si>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</si>
  <si>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</si>
  <si>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</si>
  <si>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</si>
  <si>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</si>
  <si>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</si>
  <si>
    <t>Ghi chú</t>
  </si>
  <si>
    <t>UBS</t>
  </si>
  <si>
    <t>UBND xã sử dụng</t>
  </si>
  <si>
    <t>NSD</t>
  </si>
  <si>
    <t>Người sử dụng đất</t>
  </si>
  <si>
    <t>NQL</t>
  </si>
  <si>
    <t>Người được giao quản lý đất</t>
  </si>
  <si>
    <t>TVD</t>
  </si>
  <si>
    <t>Người Việt Nam định cư ở nước ngoài đầu tư</t>
  </si>
  <si>
    <t xml:space="preserve">NNP </t>
  </si>
  <si>
    <t xml:space="preserve">CHN </t>
  </si>
  <si>
    <t xml:space="preserve">LUA </t>
  </si>
  <si>
    <t xml:space="preserve">LUC </t>
  </si>
  <si>
    <t xml:space="preserve">LUK </t>
  </si>
  <si>
    <t xml:space="preserve">LUN </t>
  </si>
  <si>
    <r>
      <t>Đất trồng lúa nương
(</t>
    </r>
    <r>
      <rPr>
        <i/>
        <sz val="11"/>
        <color rgb="FF000000"/>
        <rFont val="TimesNewRomanPS-ItalicMT"/>
      </rPr>
      <t>Chỉ áp dụng với các dữ liệu hình thành trước ngày 01/8/2024</t>
    </r>
    <r>
      <rPr>
        <sz val="11"/>
        <color rgb="FF000000"/>
        <rFont val="TimesNewRomanPSMT"/>
      </rPr>
      <t>)</t>
    </r>
  </si>
  <si>
    <t xml:space="preserve">BHK </t>
  </si>
  <si>
    <r>
      <t>Đất bằng trồng cây hàng năm khác
(C</t>
    </r>
    <r>
      <rPr>
        <i/>
        <sz val="11"/>
        <color rgb="FF000000"/>
        <rFont val="TimesNewRomanPS-ItalicMT"/>
      </rPr>
      <t>hỉ áp dụng với các dữ liệu hình thành trước ngày 01/8/2024</t>
    </r>
    <r>
      <rPr>
        <sz val="11"/>
        <color rgb="FF000000"/>
        <rFont val="TimesNewRomanPSMT"/>
      </rPr>
      <t>)</t>
    </r>
  </si>
  <si>
    <t xml:space="preserve">NHK </t>
  </si>
  <si>
    <r>
      <t>Đất nương rẫy trồng cây hàng năm khác
(</t>
    </r>
    <r>
      <rPr>
        <i/>
        <sz val="11"/>
        <color rgb="FF000000"/>
        <rFont val="TimesNewRomanPS-ItalicMT"/>
      </rPr>
      <t>Chỉ áp dụng với các dữ liệu hình thành trước ngày 01/8/2024</t>
    </r>
    <r>
      <rPr>
        <sz val="11"/>
        <color rgb="FF000000"/>
        <rFont val="TimesNewRomanPSMT"/>
      </rPr>
      <t>)</t>
    </r>
  </si>
  <si>
    <t xml:space="preserve">HNK </t>
  </si>
  <si>
    <t xml:space="preserve">CLN </t>
  </si>
  <si>
    <t xml:space="preserve">LNP </t>
  </si>
  <si>
    <t xml:space="preserve">RDD </t>
  </si>
  <si>
    <t xml:space="preserve">RPH </t>
  </si>
  <si>
    <t xml:space="preserve">RSX </t>
  </si>
  <si>
    <t xml:space="preserve">RSN </t>
  </si>
  <si>
    <t xml:space="preserve">NTS </t>
  </si>
  <si>
    <t xml:space="preserve">CNT </t>
  </si>
  <si>
    <t xml:space="preserve">LMU </t>
  </si>
  <si>
    <t xml:space="preserve">NKH </t>
  </si>
  <si>
    <t xml:space="preserve">PNN </t>
  </si>
  <si>
    <t xml:space="preserve">OTC </t>
  </si>
  <si>
    <t xml:space="preserve">ONT </t>
  </si>
  <si>
    <t xml:space="preserve">ODT </t>
  </si>
  <si>
    <t xml:space="preserve">TSC </t>
  </si>
  <si>
    <t xml:space="preserve">DTS </t>
  </si>
  <si>
    <r>
      <t>Đất xây dựng trụ sở của tổ chức sự nghiệp
(</t>
    </r>
    <r>
      <rPr>
        <i/>
        <sz val="11"/>
        <color rgb="FF000000"/>
        <rFont val="TimesNewRomanPS-ItalicMT"/>
      </rPr>
      <t>Chỉ áp dụng với các dữ liệu hình thành trước ngày 01/8/2024</t>
    </r>
    <r>
      <rPr>
        <sz val="11"/>
        <color rgb="FF000000"/>
        <rFont val="TimesNewRomanPSMT"/>
      </rPr>
      <t>)</t>
    </r>
  </si>
  <si>
    <t xml:space="preserve">CQA </t>
  </si>
  <si>
    <t xml:space="preserve">CQP </t>
  </si>
  <si>
    <t xml:space="preserve">CAN </t>
  </si>
  <si>
    <t xml:space="preserve">DSN </t>
  </si>
  <si>
    <t xml:space="preserve">DVH </t>
  </si>
  <si>
    <r>
      <t xml:space="preserve">Đất xây dựng cơ sở xã hội
</t>
    </r>
    <r>
      <rPr>
        <i/>
        <sz val="11"/>
        <color rgb="FF000000"/>
        <rFont val="TimesNewRomanPS-ItalicMT"/>
      </rPr>
      <t>(Dữ liệu hình thành trước ngày 01/8/2024 có giá trị thu nhận là “ Đất xây dựng cơ
sở dịch vụ xã hội”)</t>
    </r>
  </si>
  <si>
    <t xml:space="preserve">DYT </t>
  </si>
  <si>
    <t xml:space="preserve">DGD </t>
  </si>
  <si>
    <t xml:space="preserve">DTT </t>
  </si>
  <si>
    <t xml:space="preserve">DKH </t>
  </si>
  <si>
    <t xml:space="preserve">DMT </t>
  </si>
  <si>
    <t xml:space="preserve">DKT </t>
  </si>
  <si>
    <t xml:space="preserve">DNG </t>
  </si>
  <si>
    <t xml:space="preserve">DSK </t>
  </si>
  <si>
    <t xml:space="preserve">CSK </t>
  </si>
  <si>
    <t xml:space="preserve">SCC </t>
  </si>
  <si>
    <t xml:space="preserve">SKK </t>
  </si>
  <si>
    <t xml:space="preserve">SKT </t>
  </si>
  <si>
    <r>
      <t>Đất khu chế xuất
(C</t>
    </r>
    <r>
      <rPr>
        <i/>
        <sz val="11"/>
        <color rgb="FF000000"/>
        <rFont val="TimesNewRomanPS-ItalicMT"/>
      </rPr>
      <t>hỉ áp dụng với các dữ liệu hình thành trước ngày 01/8/2024</t>
    </r>
    <r>
      <rPr>
        <sz val="11"/>
        <color rgb="FF000000"/>
        <rFont val="TimesNewRomanPSMT"/>
      </rPr>
      <t>)</t>
    </r>
  </si>
  <si>
    <t xml:space="preserve">SKX </t>
  </si>
  <si>
    <r>
      <t>Đất sản xuất vật liệu xây dựng, làm đồ gốm
(C</t>
    </r>
    <r>
      <rPr>
        <i/>
        <sz val="11"/>
        <color rgb="FF000000"/>
        <rFont val="TimesNewRomanPS-ItalicMT"/>
      </rPr>
      <t>hỉ áp dụng với các dữ liệu hình thành trước ngày 01/8/2024</t>
    </r>
    <r>
      <rPr>
        <sz val="11"/>
        <color rgb="FF000000"/>
        <rFont val="TimesNewRomanPSMT"/>
      </rPr>
      <t>)</t>
    </r>
  </si>
  <si>
    <t xml:space="preserve">SKN </t>
  </si>
  <si>
    <t xml:space="preserve">SCT </t>
  </si>
  <si>
    <t xml:space="preserve">TMD </t>
  </si>
  <si>
    <t xml:space="preserve">SKC </t>
  </si>
  <si>
    <t xml:space="preserve">SKS </t>
  </si>
  <si>
    <t xml:space="preserve">CCC </t>
  </si>
  <si>
    <t xml:space="preserve">DGT </t>
  </si>
  <si>
    <t xml:space="preserve">DTL </t>
  </si>
  <si>
    <t xml:space="preserve">DDT </t>
  </si>
  <si>
    <r>
      <t>Đất có di tích lịch sử - văn hóa
(C</t>
    </r>
    <r>
      <rPr>
        <i/>
        <sz val="11"/>
        <color rgb="FF000000"/>
        <rFont val="TimesNewRomanPS-ItalicMT"/>
      </rPr>
      <t>hỉ áp dụng với các dữ liệu hình thành trước ngày 01/8/2024</t>
    </r>
    <r>
      <rPr>
        <sz val="11"/>
        <color rgb="FF000000"/>
        <rFont val="TimesNewRomanPSMT"/>
      </rPr>
      <t>)</t>
    </r>
  </si>
  <si>
    <t xml:space="preserve">DDL </t>
  </si>
  <si>
    <r>
      <t>Đất có danh lam thắng cảnh
(</t>
    </r>
    <r>
      <rPr>
        <i/>
        <sz val="11"/>
        <color rgb="FF000000"/>
        <rFont val="TimesNewRomanPS-ItalicMT"/>
      </rPr>
      <t>chỉ áp dụng với các dữ liệu hình thành trước ngày 01/8/2024</t>
    </r>
    <r>
      <rPr>
        <sz val="11"/>
        <color rgb="FF000000"/>
        <rFont val="TimesNewRomanPSMT"/>
      </rPr>
      <t>)</t>
    </r>
  </si>
  <si>
    <t xml:space="preserve">DSH </t>
  </si>
  <si>
    <r>
      <t>Đất sinh hoạt cộng đồng
(</t>
    </r>
    <r>
      <rPr>
        <i/>
        <sz val="11"/>
        <color rgb="FF000000"/>
        <rFont val="TimesNewRomanPS-ItalicMT"/>
      </rPr>
      <t>Chỉ áp dụng với các dữ liệu hình thành trước ngày 01/8/2024</t>
    </r>
    <r>
      <rPr>
        <sz val="11"/>
        <color rgb="FF000000"/>
        <rFont val="TimesNewRomanPSMT"/>
      </rPr>
      <t>)</t>
    </r>
  </si>
  <si>
    <t xml:space="preserve">DCT </t>
  </si>
  <si>
    <t xml:space="preserve">DPC </t>
  </si>
  <si>
    <t xml:space="preserve">DDD </t>
  </si>
  <si>
    <r>
      <t>Đất công trình xử lý chất thải
(</t>
    </r>
    <r>
      <rPr>
        <i/>
        <sz val="11"/>
        <color rgb="FF000000"/>
        <rFont val="TimesNewRomanPS-ItalicMT"/>
      </rPr>
      <t>Dữ liệu hình thành trước ngày 01/8/2024 có giá trị thu nhận là “Đất bãi thải, xử lý
chất thải</t>
    </r>
    <r>
      <rPr>
        <sz val="11"/>
        <color rgb="FF000000"/>
        <rFont val="TimesNewRomanPSMT"/>
      </rPr>
      <t>”)</t>
    </r>
  </si>
  <si>
    <t xml:space="preserve">DCK </t>
  </si>
  <si>
    <r>
      <t>Đất công trình công cộng khác
(</t>
    </r>
    <r>
      <rPr>
        <i/>
        <sz val="11"/>
        <color rgb="FF000000"/>
        <rFont val="TimesNewRomanPS-ItalicMT"/>
      </rPr>
      <t>Chỉ áp dụng với các dữ liệu hình thành trước ngày 01/8/2024</t>
    </r>
    <r>
      <rPr>
        <sz val="11"/>
        <color rgb="FF000000"/>
        <rFont val="TimesNewRomanPSMT"/>
      </rPr>
      <t>)</t>
    </r>
  </si>
  <si>
    <r>
      <t>Đất công trình năng lượng, chiếu sáng công cộng
(</t>
    </r>
    <r>
      <rPr>
        <i/>
        <sz val="11"/>
        <color rgb="FF000000"/>
        <rFont val="TimesNewRomanPS-ItalicMT"/>
      </rPr>
      <t>dữ liệu hình thành trước ngày 01/8/2024 có giá trị thu nhận là “Đất công trình năng
lượng</t>
    </r>
    <r>
      <rPr>
        <sz val="11"/>
        <color rgb="FF000000"/>
        <rFont val="TimesNewRomanPSMT"/>
      </rPr>
      <t>”)</t>
    </r>
  </si>
  <si>
    <r>
      <t>Đất công trình hạ tầng bưu chính, viễn thông, công nghệ thông tin.
(D</t>
    </r>
    <r>
      <rPr>
        <i/>
        <sz val="11"/>
        <color rgb="FF000000"/>
        <rFont val="TimesNewRomanPS-ItalicMT"/>
      </rPr>
      <t>ữ liệu hình thành trước ngày 01/8/2024 có giá trị thu nhận là “Đất công trình bưu
chính, viễn thông</t>
    </r>
    <r>
      <rPr>
        <sz val="11"/>
        <color rgb="FF000000"/>
        <rFont val="TimesNewRomanPSMT"/>
      </rPr>
      <t>”)</t>
    </r>
  </si>
  <si>
    <t xml:space="preserve">DCH </t>
  </si>
  <si>
    <r>
      <t>Đất chợ dân sinh, chợ đầu mối
(D</t>
    </r>
    <r>
      <rPr>
        <i/>
        <sz val="11"/>
        <color rgb="FF000000"/>
        <rFont val="TimesNewRomanPS-ItalicMT"/>
      </rPr>
      <t>ữ liệu hình thành trước ngày 01/8/2024 có giá trị thu nhận là “Đất chợ</t>
    </r>
    <r>
      <rPr>
        <sz val="11"/>
        <color rgb="FF000000"/>
        <rFont val="TimesNewRomanPSMT"/>
      </rPr>
      <t>”)</t>
    </r>
  </si>
  <si>
    <r>
      <t xml:space="preserve">Đất khu vui chơi, giải trí công cộng, sinh hoạt cộng đồng
</t>
    </r>
    <r>
      <rPr>
        <sz val="11"/>
        <color rgb="FF000000"/>
        <rFont val="TimesNewRomanPSMT"/>
      </rPr>
      <t>(</t>
    </r>
    <r>
      <rPr>
        <i/>
        <sz val="11"/>
        <color rgb="FF000000"/>
        <rFont val="TimesNewRomanPS-ItalicMT"/>
      </rPr>
      <t>Dữ liệu hình thành trước ngày 01/8/2024 có giá trị thu nhận là “Đất khu vui chơi,
giải trí công cộng</t>
    </r>
    <r>
      <rPr>
        <sz val="11"/>
        <color rgb="FF000000"/>
        <rFont val="TimesNewRomanPSMT"/>
      </rPr>
      <t>”)</t>
    </r>
  </si>
  <si>
    <r>
      <t>Đất tôn giáo
(</t>
    </r>
    <r>
      <rPr>
        <i/>
        <sz val="11"/>
        <color rgb="FF000000"/>
        <rFont val="TimesNewRomanPS-ItalicMT"/>
      </rPr>
      <t>Dữ liệu hình thành trước ngày 01/8/2024 có giá trị thu nhận là “Đất cơ sở tôn
giáo</t>
    </r>
    <r>
      <rPr>
        <sz val="11"/>
        <color rgb="FF000000"/>
        <rFont val="TimesNewRomanPSMT"/>
      </rPr>
      <t>”)</t>
    </r>
  </si>
  <si>
    <r>
      <t>Đất tín ngưỡng
(D</t>
    </r>
    <r>
      <rPr>
        <i/>
        <sz val="11"/>
        <color rgb="FF000000"/>
        <rFont val="TimesNewRomanPS-ItalicMT"/>
      </rPr>
      <t>ữ liệu hình thành trước ngày 01/8/2024 có giá trị thu nhận là “Đất cơ sở tín
ngưỡng</t>
    </r>
    <r>
      <rPr>
        <sz val="11"/>
        <color rgb="FF000000"/>
        <rFont val="TimesNewRomanPSMT"/>
      </rPr>
      <t>”)</t>
    </r>
  </si>
  <si>
    <r>
      <t>Đất nghĩa trang, nhà tang lễ, cơ sở hỏa táng; đất cơ sở lưu trữ tro cốt
(D</t>
    </r>
    <r>
      <rPr>
        <i/>
        <sz val="11"/>
        <color rgb="FF000000"/>
        <rFont val="TimesNewRomanPS-ItalicMT"/>
      </rPr>
      <t>ữ liệu hình thành trước ngày 01/8/2024 có giá trị thu nhận là “Đất làm nghĩa
trang, nghĩa địa, nhà tang lễ, nhà hỏa táng</t>
    </r>
    <r>
      <rPr>
        <sz val="11"/>
        <color rgb="FF000000"/>
        <rFont val="TimesNewRomanPSMT"/>
      </rPr>
      <t>”)</t>
    </r>
  </si>
  <si>
    <t xml:space="preserve">TVC </t>
  </si>
  <si>
    <r>
      <t>Đất có mặt nước chuyên dùng dạng ao, hồ, đầm, phá
(D</t>
    </r>
    <r>
      <rPr>
        <i/>
        <sz val="11"/>
        <color rgb="FF000000"/>
        <rFont val="TimesNewRomanPS-ItalicMT"/>
      </rPr>
      <t>ữ liệu hình thành trước ngày 01/8/2024 có giá trị thu nhận là “Đất có mặt nước
chuyên dùng</t>
    </r>
    <r>
      <rPr>
        <sz val="11"/>
        <color rgb="FF000000"/>
        <rFont val="TimesNewRomanPSMT"/>
      </rPr>
      <t>”)</t>
    </r>
  </si>
  <si>
    <r>
      <t>Đất có mặt nước dạng sông, ngòi, kênh, rạch, suối
(D</t>
    </r>
    <r>
      <rPr>
        <i/>
        <sz val="11"/>
        <color rgb="FF000000"/>
        <rFont val="TimesNewRomanPS-ItalicMT"/>
      </rPr>
      <t>ữ liệu hình thành trước ngày 01/8/2024 có giá trị thu nhận là “Đất sông, ngòi,
kênh, rạch, suối</t>
    </r>
    <r>
      <rPr>
        <sz val="11"/>
        <color rgb="FF000000"/>
        <rFont val="TimesNewRomanPSMT"/>
      </rPr>
      <t>”)</t>
    </r>
  </si>
  <si>
    <t xml:space="preserve">PNK </t>
  </si>
  <si>
    <t xml:space="preserve">CSD </t>
  </si>
  <si>
    <t xml:space="preserve">CGT </t>
  </si>
  <si>
    <t>Đất do Nhà nước thu hồi theo quy định của pháp luật đất đai chưa giao, chưa cho
thuê</t>
  </si>
  <si>
    <t xml:space="preserve">BCS </t>
  </si>
  <si>
    <t xml:space="preserve">DCS </t>
  </si>
  <si>
    <t xml:space="preserve">NCS </t>
  </si>
  <si>
    <t xml:space="preserve">MCS </t>
  </si>
  <si>
    <t>Theo Luật Đất đai 2013</t>
  </si>
  <si>
    <t>Theo Luật Đất đai 2024</t>
  </si>
  <si>
    <r>
      <t xml:space="preserve">Hộ gia đình, cá nhân trong nước
</t>
    </r>
    <r>
      <rPr>
        <i/>
        <sz val="13"/>
        <rFont val="Times New Roman"/>
        <family val="1"/>
      </rPr>
      <t>(Chỉ áp dụng với các dữ liệu hình thành trước ngày 01/8/2024)</t>
    </r>
  </si>
  <si>
    <r>
      <t xml:space="preserve">Tổ chức kinh tế
</t>
    </r>
    <r>
      <rPr>
        <i/>
        <sz val="13"/>
        <rFont val="Times New Roman"/>
        <family val="1"/>
      </rPr>
      <t>(Dữ liệu hình thành trước ngày 01/8/2024 có giá trị thu nhận là “tổ chức kinh tế trong nước”)</t>
    </r>
  </si>
  <si>
    <r>
      <t xml:space="preserve">Cơ quan nhà nước, cơ quan đảng và đơn vị vũ trang nhân dân
</t>
    </r>
    <r>
      <rPr>
        <i/>
        <sz val="13"/>
        <rFont val="Times New Roman"/>
        <family val="1"/>
      </rPr>
      <t>(Dữ liệu hình thành trước ngày 01/8/2024 có giá trị thu nhận là “Cơ quan, đơn vị của Nhà nước)</t>
    </r>
  </si>
  <si>
    <r>
      <t xml:space="preserve">Đơn vị sự nghiệp công lập
</t>
    </r>
    <r>
      <rPr>
        <i/>
        <sz val="13"/>
        <rFont val="Times New Roman"/>
        <family val="1"/>
      </rPr>
      <t>(Dữ liệu hình thành trước ngày 01/8/2024 có giá trị thu nhận là “Tổ chức sự nghiệp công lập”)</t>
    </r>
  </si>
  <si>
    <r>
      <t xml:space="preserve">Tổ chức khác
</t>
    </r>
    <r>
      <rPr>
        <i/>
        <sz val="13"/>
        <rFont val="Times New Roman"/>
        <family val="1"/>
      </rPr>
      <t>(Dữ liệu hình thành trước ngày 01/8/2024 có giá trị thu nhận là “Tổ chức trong nước khác”)</t>
    </r>
  </si>
  <si>
    <r>
      <t xml:space="preserve">Tổ chức nước ngoài
</t>
    </r>
    <r>
      <rPr>
        <i/>
        <sz val="13"/>
        <rFont val="Times New Roman"/>
        <family val="1"/>
      </rPr>
      <t>(Chỉ áp dụng với các dữ liệu hình thành trước ngày 01/8/2024)</t>
    </r>
  </si>
  <si>
    <r>
      <t xml:space="preserve">Tổ chức kinh tế có vốn đầu tư nước ngoài
</t>
    </r>
    <r>
      <rPr>
        <i/>
        <sz val="13"/>
        <rFont val="Times New Roman"/>
        <family val="1"/>
      </rPr>
      <t>(Dữ liệu hình thành trước ngày 01/8/2024 có giá trị thu nhận là “Doanh nghiệp có vốn đầu tư nước ngoài”)</t>
    </r>
  </si>
  <si>
    <r>
      <t xml:space="preserve">Người Việt Nam định cư ở nước ngoài là công dân Việt Nam
</t>
    </r>
    <r>
      <rPr>
        <i/>
        <sz val="13"/>
        <rFont val="Times New Roman"/>
        <family val="1"/>
      </rPr>
      <t>(Dữ liệu hình thành trước ngày 01/8/2024 có giá trị thu nhận là “Người Việt Nam định cư ở nước ngoài”)</t>
    </r>
  </si>
  <si>
    <r>
      <t xml:space="preserve">Cộng đồng dân cư
</t>
    </r>
    <r>
      <rPr>
        <i/>
        <sz val="13"/>
        <rFont val="Times New Roman"/>
        <family val="1"/>
      </rPr>
      <t>(Dữ liệu hình thành trước ngày 01/8/2024 có giá trị thu nhận là “Cộng đồng dân cư và cơ sở tôn giáo”)</t>
    </r>
  </si>
  <si>
    <r>
      <t xml:space="preserve">Ủy ban nhân dân cấp xã
</t>
    </r>
    <r>
      <rPr>
        <i/>
        <sz val="13"/>
        <rFont val="Times New Roman"/>
        <family val="1"/>
      </rPr>
      <t>(chỉ áp dụng với các dữ liệu hình thành trước ngày 01/8/2024)</t>
    </r>
  </si>
  <si>
    <r>
      <t xml:space="preserve">Tổ chức phát triển quỹ đất
</t>
    </r>
    <r>
      <rPr>
        <i/>
        <sz val="13"/>
        <rFont val="Times New Roman"/>
        <family val="1"/>
      </rPr>
      <t>(Chỉ áp dụng với các dữ liệu hình thành trước ngày 01/8/2024)</t>
    </r>
  </si>
  <si>
    <r>
      <t xml:space="preserve">Cộng đồng dân cư và tổ chức khác được giao quản lý đất
</t>
    </r>
    <r>
      <rPr>
        <i/>
        <sz val="13"/>
        <rFont val="Times New Roman"/>
        <family val="1"/>
      </rPr>
      <t>(Chỉ áp dụng với các dữ liệu hình thành trước ngày 01/8/2024)</t>
    </r>
  </si>
  <si>
    <t>Khu nhà chung cư, nhà hỗn hợp</t>
  </si>
  <si>
    <t>Công trình xây dựng</t>
  </si>
  <si>
    <t>Hạng mục của công trình xây dựng</t>
  </si>
  <si>
    <t>Rừng sản xuất là rừng trồng</t>
  </si>
  <si>
    <t>Cấp 0</t>
  </si>
  <si>
    <t>Hạng I</t>
  </si>
  <si>
    <t>Hạng II</t>
  </si>
  <si>
    <t>Hạng III</t>
  </si>
  <si>
    <t>Hạng IV</t>
  </si>
  <si>
    <t>Loại A (Đã được cấp giấy chứng nhận, chưa có tài sản gắn liền với đất)</t>
  </si>
  <si>
    <t>Loại B (Đã được cấp giấy chứng nhận, có tài sản gắn liền với đất)</t>
  </si>
  <si>
    <t>Loại C (Được cấp chung một giấy chứng nhận)</t>
  </si>
  <si>
    <t>Loại D (Căn hộ, văn phòng, cơ sở dịch vụ - thương mại trong nhà chung cư, nhà hỗn hợp đã được cấp giấy chứng nhận)</t>
  </si>
  <si>
    <t>Loại E (Chưa được cấp giấy chứng nhận hoặc không được cấp giấy chứng nhận)</t>
  </si>
  <si>
    <t>CN</t>
  </si>
  <si>
    <t>TC</t>
  </si>
  <si>
    <t>CDDC</t>
  </si>
  <si>
    <t xml:space="preserve">Mã </t>
  </si>
  <si>
    <r>
      <t>Sổ hộ khẩu
(d</t>
    </r>
    <r>
      <rPr>
        <i/>
        <sz val="11"/>
        <color rgb="FF000000"/>
        <rFont val="TimesNewRomanPS-ItalicMT"/>
      </rPr>
      <t>ữ liệu về Sổ hộ khẩu chỉ áp dụng với các dữ liệu hình thành trước ngày 01/8/2024</t>
    </r>
    <r>
      <rPr>
        <sz val="11"/>
        <color rgb="FF000000"/>
        <rFont val="TimesNewRomanPSMT"/>
      </rPr>
      <t>)</t>
    </r>
  </si>
  <si>
    <t>Thẻ căn cước</t>
  </si>
  <si>
    <t>Mã định danh cá nhân</t>
  </si>
  <si>
    <r>
      <t>Chứng minh nhân dân
(</t>
    </r>
    <r>
      <rPr>
        <i/>
        <sz val="11"/>
        <color rgb="FF000000"/>
        <rFont val="TimesNewRomanPS-ItalicMT"/>
      </rPr>
      <t>dữ liệu về Chứng minh nhân dân chỉ áp dụng với các dữ liệu hình thành trước ngày 01/01/2025</t>
    </r>
    <r>
      <rPr>
        <sz val="11"/>
        <color rgb="FF000000"/>
        <rFont val="TimesNewRomanPSMT"/>
      </rPr>
      <t>)</t>
    </r>
  </si>
  <si>
    <t>Giấy chứng nhận đăng ký doanh nghiệp</t>
  </si>
  <si>
    <t>Giấy chứng nhận đăng ký kinh doanh</t>
  </si>
  <si>
    <t>Giấy chứng nhận kinh doanh công ty cổ phần</t>
  </si>
  <si>
    <t>Giấy chứng nhận kinh doanh công ty nhà nước</t>
  </si>
  <si>
    <t>Giấy chứng nhận kinh doanh và đăng ký thuế</t>
  </si>
  <si>
    <t>Giấy chứng nhận kinh doanh và đăng ký thuế công ty cổ phần</t>
  </si>
  <si>
    <t>Giấy chứng nhận kinh doanh và đăng ký thuế công ty nhà nước</t>
  </si>
  <si>
    <t>Giấy phép kinh doanh</t>
  </si>
  <si>
    <t>Quyết định thành lập số</t>
  </si>
  <si>
    <t>Giấy chứng nhận đăng ký kinh doanh Hộ kinh doanh</t>
  </si>
  <si>
    <t>Giấy đăng ký hoạt động của Công ty Luật Hợp Danh, Công ty Luật Trách Nhiệm Hữu Hạn hai thành viên trở lên</t>
  </si>
  <si>
    <t>Giấy đăng ký hoạt động của Văn phòng Luật sư/Công ty Luật trách nhiệm hữu hạn một thành viên</t>
  </si>
  <si>
    <t>Giấy chứng nhận đăng ký hộ kinh doanh số</t>
  </si>
  <si>
    <t>Giấy phép thành lập</t>
  </si>
  <si>
    <t>Doanh nghiệp tư nhân</t>
  </si>
  <si>
    <t>Nghị quyết</t>
  </si>
  <si>
    <t>Thông tư số</t>
  </si>
  <si>
    <t>Giấy chứng nhận đăng ký hợp tác xã</t>
  </si>
  <si>
    <t>Giấy xác nhận</t>
  </si>
  <si>
    <t>Cá nhân</t>
  </si>
  <si>
    <t>Cộng đồng dân cư</t>
  </si>
  <si>
    <t>VC</t>
  </si>
  <si>
    <t>Vợ chồng</t>
  </si>
  <si>
    <t>Hộ gia đình</t>
  </si>
  <si>
    <t>NNDSD</t>
  </si>
  <si>
    <t>Nhóm người đồng sở hữu</t>
  </si>
  <si>
    <t>Loại đối tượng</t>
  </si>
  <si>
    <t>CNQ</t>
  </si>
  <si>
    <t>Nhà nước công nhận quyền sử dụng đất</t>
  </si>
  <si>
    <t>CN-CTT</t>
  </si>
  <si>
    <t>Nhà nước công nhận QSDĐ như Nhà nước giao đất có thu tiền sử dụng đất</t>
  </si>
  <si>
    <t>CN-KTT</t>
  </si>
  <si>
    <t>Nhà nước công nhận QSDĐ như Nhà nước giao đất không thu tiền sử dụng đất</t>
  </si>
  <si>
    <t>Nhận chuyển quyền do giải quyết tranh chấp đất</t>
  </si>
  <si>
    <t>Nhận chuyển quyền do trúng đấu giá đất</t>
  </si>
  <si>
    <t>Nhận chuyển quyền do xử lý nợ thế chấp đất</t>
  </si>
  <si>
    <t>Nhận chuyển quyền do giải quyết khiếu nại hoặc tố cáo</t>
  </si>
  <si>
    <t>Nhận chuyển quyền do thực hiện quyết định hoặc bản án của Tòa án nhân dân</t>
  </si>
  <si>
    <t>Nhận chuyển quyền do thực hiện quyết định thi hành án</t>
  </si>
  <si>
    <t>Nhận chuyển đổi đất</t>
  </si>
  <si>
    <t>Nhận chuyển nhượng đất</t>
  </si>
  <si>
    <t>Nhận thừa kế đất</t>
  </si>
  <si>
    <t>Nhận tặng cho đất</t>
  </si>
  <si>
    <t>STT</t>
  </si>
  <si>
    <t>Mã xã 3 cấp (cũ)</t>
  </si>
  <si>
    <t>Tên xã 3 cấp</t>
  </si>
  <si>
    <t>Quận/huyện 3 cấp</t>
  </si>
  <si>
    <t>Tỉnh 3 cấp (cũ)</t>
  </si>
  <si>
    <t>Mã xã 2 cấp (mới)</t>
  </si>
  <si>
    <t>Tên xã 2 cấp</t>
  </si>
  <si>
    <t>Tỉnh/TP (2 cấp)</t>
  </si>
  <si>
    <t>Thành phố Hạ Long</t>
  </si>
  <si>
    <t>Tỉnh Quảng Ninh</t>
  </si>
  <si>
    <t>Thành phố Móng Cái</t>
  </si>
  <si>
    <t>Phường Móng Cái 2</t>
  </si>
  <si>
    <t>Phường Móng Cái 1</t>
  </si>
  <si>
    <t>Phường Móng Cái 3</t>
  </si>
  <si>
    <t>Thành phố Cẩm Phả</t>
  </si>
  <si>
    <t>Phường Cẩm Phả</t>
  </si>
  <si>
    <t>Thành phố Uông Bí</t>
  </si>
  <si>
    <t>Phường Uông Bí</t>
  </si>
  <si>
    <t>Phường Yên Tử</t>
  </si>
  <si>
    <t>Thành phố Đông Triều</t>
  </si>
  <si>
    <t>Phường Bình Khê</t>
  </si>
  <si>
    <t>Phường Bình Dương</t>
  </si>
  <si>
    <t>Phường Thủy An</t>
  </si>
  <si>
    <t>Phường Yên Đức</t>
  </si>
  <si>
    <t>Thị Xã Quảng Yên</t>
  </si>
  <si>
    <t>Thị xã Quảng Yên</t>
  </si>
  <si>
    <t>Phường Liên Hòa</t>
  </si>
  <si>
    <t>Phường Nam Hòa</t>
  </si>
  <si>
    <t>Huyện Tiên Yên</t>
  </si>
  <si>
    <t>Huyện Bình Liêu</t>
  </si>
  <si>
    <t>Xã Bình Liêu</t>
  </si>
  <si>
    <t>Huyện Đầm Hà</t>
  </si>
  <si>
    <t>Huyện Hải Hà</t>
  </si>
  <si>
    <t>Xã Quảng Hà</t>
  </si>
  <si>
    <t>Huyện Ba Chẽ</t>
  </si>
  <si>
    <t>Xã Ba Chẽ</t>
  </si>
  <si>
    <t>Xã Lương Minh</t>
  </si>
  <si>
    <t>Huyện Vân Đồn</t>
  </si>
  <si>
    <t>Đặc khu Vân Đồn</t>
  </si>
  <si>
    <t>Huyện Cô Tô</t>
  </si>
  <si>
    <t>Đặc khu Cô Tô</t>
  </si>
  <si>
    <t>0691019005157</t>
  </si>
  <si>
    <t>CT 909104</t>
  </si>
  <si>
    <t>Phạm Như Hiên</t>
  </si>
  <si>
    <t>Thôn Đông</t>
  </si>
  <si>
    <t>Thôn Đông, xã Dực Yên, huyện Đầm Hà, tỉnh Quảng Ninh</t>
  </si>
  <si>
    <t>xã Dực Yên, huyện Đầm Hà, tỉnh Quảng Ninh</t>
  </si>
  <si>
    <t>Việt Nam</t>
  </si>
  <si>
    <t>Lương Thị Hoà</t>
  </si>
  <si>
    <t>Đến ngày 17/08/2067</t>
  </si>
  <si>
    <t>Lê Bình Phượng</t>
  </si>
  <si>
    <t>Phường Hà Tu, Tỉnh Quảng Ninh</t>
  </si>
  <si>
    <t>Phường Cao Xanh, Tỉnh Quảng Ninh</t>
  </si>
  <si>
    <t>Phường Việt Hưng, Tỉnh Quảng Ninh</t>
  </si>
  <si>
    <t>Phường Bãi Cháy, Tỉnh Quảng Ninh</t>
  </si>
  <si>
    <t>Phường Hà Lầm, Tỉnh Quảng Ninh</t>
  </si>
  <si>
    <t>Phường Hồng Gai, Tỉnh Quảng Ninh</t>
  </si>
  <si>
    <t>Phường Hạ Long, Tỉnh Quảng Ninh</t>
  </si>
  <si>
    <t>Phường Tuần Châu, Tỉnh Quảng Ninh</t>
  </si>
  <si>
    <t>Phường Móng Cái 2, Tỉnh Quảng Ninh</t>
  </si>
  <si>
    <t>Phường Móng Cái 1, Tỉnh Quảng Ninh</t>
  </si>
  <si>
    <t>Phường Móng Cái 3, Tỉnh Quảng Ninh</t>
  </si>
  <si>
    <t>Phường Mông Dương, Tỉnh Quảng Ninh</t>
  </si>
  <si>
    <t>Phường Quang Hanh, Tỉnh Quảng Ninh</t>
  </si>
  <si>
    <t>Phường Cửa Ông, Tỉnh Quảng Ninh</t>
  </si>
  <si>
    <t>Phường Cẩm Phả, Tỉnh Quảng Ninh</t>
  </si>
  <si>
    <t>Phường Uông Bí, Tỉnh Quảng Ninh</t>
  </si>
  <si>
    <t>Phường Vàng Danh, Tỉnh Quảng Ninh</t>
  </si>
  <si>
    <t>Phường Yên Tử, Tỉnh Quảng Ninh</t>
  </si>
  <si>
    <t>Phường Hoành Bồ, Tỉnh Quảng Ninh</t>
  </si>
  <si>
    <t>Phường Mạo Khê, Tỉnh Quảng Ninh</t>
  </si>
  <si>
    <t>Phường Bình Khê, Tỉnh Quảng Ninh</t>
  </si>
  <si>
    <t>Phường An Sinh, Tỉnh Quảng Ninh</t>
  </si>
  <si>
    <t>Phường Đông Triều, Tỉnh Quảng Ninh</t>
  </si>
  <si>
    <t>Phường Hoàng Quế, Tỉnh Quảng Ninh</t>
  </si>
  <si>
    <t>Phường Quảng Yên, Tỉnh Quảng Ninh</t>
  </si>
  <si>
    <t>Phường Đông Mai, Tỉnh Quảng Ninh</t>
  </si>
  <si>
    <t>Phường Hiệp Hòa, Tỉnh Quảng Ninh</t>
  </si>
  <si>
    <t>Phường Hà An, Tỉnh Quảng Ninh</t>
  </si>
  <si>
    <t>Phường Liên Hòa, Tỉnh Quảng Ninh</t>
  </si>
  <si>
    <t>Phường Phong Cốc, Tỉnh Quảng Ninh</t>
  </si>
  <si>
    <t>Xã Hải Sơn, Tỉnh Quảng Ninh</t>
  </si>
  <si>
    <t>Xã Hải Ninh, Tỉnh Quảng Ninh</t>
  </si>
  <si>
    <t>Xã Vĩnh Thực, Tỉnh Quảng Ninh</t>
  </si>
  <si>
    <t>Xã Hải Hòa, Tỉnh Quảng Ninh</t>
  </si>
  <si>
    <t>Xã Bình Liêu, Tỉnh Quảng Ninh</t>
  </si>
  <si>
    <t>Xã Hoành Mô, Tỉnh Quảng Ninh</t>
  </si>
  <si>
    <t>Xã Lục Hồn, Tỉnh Quảng Ninh</t>
  </si>
  <si>
    <t>Xã Tiên Yên, Tỉnh Quảng Ninh</t>
  </si>
  <si>
    <t>Xã Điền Xá, Tỉnh Quảng Ninh</t>
  </si>
  <si>
    <t>Xã Đông Ngũ, Tỉnh Quảng Ninh</t>
  </si>
  <si>
    <t>Xã Hải Lạng, Tỉnh Quảng Ninh</t>
  </si>
  <si>
    <t>Xã Đầm Hà, Tỉnh Quảng Ninh</t>
  </si>
  <si>
    <t>Xã Quảng Tân, Tỉnh Quảng Ninh</t>
  </si>
  <si>
    <t>Xã Quảng Hà, Tỉnh Quảng Ninh</t>
  </si>
  <si>
    <t>Xã Quảng Đức, Tỉnh Quảng Ninh</t>
  </si>
  <si>
    <t>Xã Đường Hoa, Tỉnh Quảng Ninh</t>
  </si>
  <si>
    <t>Xã Cái Chiên, Tỉnh Quảng Ninh</t>
  </si>
  <si>
    <t>Xã Ba Chẽ, Tỉnh Quảng Ninh</t>
  </si>
  <si>
    <t>Xã Kỳ Thượng, Tỉnh Quảng Ninh</t>
  </si>
  <si>
    <t>Xã Lương Minh, Tỉnh Quảng Ninh</t>
  </si>
  <si>
    <t>Xã Quảng La, Tỉnh Quảng Ninh</t>
  </si>
  <si>
    <t>Xã Thống Nhất, Tỉnh Quảng Ninh</t>
  </si>
  <si>
    <t>Đặc khu Vân Đồn, Tỉnh Quảng Ninh</t>
  </si>
  <si>
    <t>Đặc khu Cô Tô, Tỉnh Quảng Ninh</t>
  </si>
  <si>
    <t>Loại</t>
  </si>
  <si>
    <t>Đặc điểm</t>
  </si>
  <si>
    <t>Loại A</t>
  </si>
  <si>
    <t>Thửa đất đã được cấp Giấy chứng nhận (GCN) chưa có tài sản gắn liền với đất</t>
  </si>
  <si>
    <t>Chỉ có quyền sử dụng đất, chưa đăng ký nhà hoặc công trình trên đất.</t>
  </si>
  <si>
    <t>Loại B</t>
  </si>
  <si>
    <t>Thửa đất đã được cấp GCN có tài sản gắn liền với đất</t>
  </si>
  <si>
    <t>Đã đăng ký nhà ở, công trình xây dựng hoặc tài sản khác trên đất.</t>
  </si>
  <si>
    <t>Loại C</t>
  </si>
  <si>
    <t>Thửa đất được cấp chung một Giấy chứng nhận</t>
  </si>
  <si>
    <t>Một GCN cấp cho nhiều thửa đất.</t>
  </si>
  <si>
    <t>Loại D</t>
  </si>
  <si>
    <t>Căn hộ, văn phòng, cơ sở dịch vụ - thương mại trong nhà chung cư, nhà hỗn hợp, công trình xây dựng, công trình ngầm hoặc hạng mục công trình đã được cấp GCN</t>
  </si>
  <si>
    <t>Áp dụng cho tài sản không phải là thửa đất độc lập như căn hộ chung cư, officetel, tầng thương mại...</t>
  </si>
  <si>
    <t>Loại E</t>
  </si>
  <si>
    <t>Thửa đất đã đăng ký đất đai nhưng chưa hoặc không được cấp Giấy chứng nhận</t>
  </si>
  <si>
    <t>Có hồ sơ đăng ký nhưng chưa đủ điều kiện hoặc chưa hoàn tất việc cấp GCN.</t>
  </si>
  <si>
    <t>A</t>
  </si>
  <si>
    <t>Nháp</t>
  </si>
  <si>
    <t>CH 002268</t>
  </si>
  <si>
    <t>Tên phường cũ</t>
  </si>
  <si>
    <t>Huyện</t>
  </si>
  <si>
    <t>Tỉnh</t>
  </si>
  <si>
    <t>Tên đơn vị đo</t>
  </si>
  <si>
    <t>Xí nghiệp tài nguyên và môi trường 3</t>
  </si>
  <si>
    <t>Xí nghiệp tài nguyên và môi trường 4</t>
  </si>
  <si>
    <t>Xí nghiệp trắc địa bàn đồ 203</t>
  </si>
  <si>
    <t>Trung tâm kĩ thuật tài nguyên và môi trương</t>
  </si>
  <si>
    <t>Chi nhánh công ty TNHH 1 Thành viên tài nguyên và môi trường miền nam</t>
  </si>
  <si>
    <t>Xí nghiệp tài nguyên và môi trường 5</t>
  </si>
  <si>
    <t>Công ty cổ phần đo đạc và khoáng sản</t>
  </si>
  <si>
    <t>Đoàn khảo sát đo đạc bản đồ Quảng Ninh</t>
  </si>
  <si>
    <t>Công ty cổ phần công nghệ tài nguyên môi trường và vật liệu</t>
  </si>
  <si>
    <t>Công ty cổ phần tài nguyên nam dương</t>
  </si>
  <si>
    <t>Văn phòng đăng ký đất đai tỉnh Quảng Ninh</t>
  </si>
  <si>
    <t>Trung tâm kĩ thuật địa chính</t>
  </si>
  <si>
    <t>Công ty cổ phần khảo sát thiết kế và xây dựng miền bắc</t>
  </si>
  <si>
    <t>Xí nghiệp trắc địa bàn đồ 102</t>
  </si>
  <si>
    <t>Công ty TNHH Công nghệ Môi trường và trắc địa bàn đồ khôi nguyên</t>
  </si>
  <si>
    <t>Chi nhánh công ty TNHH 1 Thành viên tài nguyên và môi trường miền nam xí nghiệp trắc địa bàn đồ 103</t>
  </si>
  <si>
    <t>Công ty cổ phần thương mại Giang Châu</t>
  </si>
  <si>
    <t>Yết kiêu</t>
  </si>
  <si>
    <t>Xí nghiệp tài nghiệp và môi trường 3</t>
  </si>
  <si>
    <t>03/1/2012</t>
  </si>
  <si>
    <t>Xí nghiệp tài nguyên và môi trường 2, chi nhánh Tổng công ty Tài nguyên và Môi trường Việt Nam</t>
  </si>
  <si>
    <t>4/4/2012</t>
  </si>
  <si>
    <t>Xí nghiệp tài nguyên và môi trường 1</t>
  </si>
  <si>
    <t>30/11/2011</t>
  </si>
  <si>
    <t>12/04/2012</t>
  </si>
  <si>
    <t>28/11/2011</t>
  </si>
  <si>
    <t>24/11/2011</t>
  </si>
  <si>
    <t>Trung tâm kỹ thuật tài nguyên và môi trường</t>
  </si>
  <si>
    <t>22/05/2019</t>
  </si>
  <si>
    <t xml:space="preserve">TT Trới </t>
  </si>
  <si>
    <t>Đất Lâm nghiệp</t>
  </si>
  <si>
    <t>12/12/2013</t>
  </si>
  <si>
    <t>18/12/2018</t>
  </si>
  <si>
    <t>Công ty TNHH Bất động sản và dịch vụ địa chính Hà Nội đo đạc chỉnh lý Bản đồ, Lập hồ sơ địa chính</t>
  </si>
  <si>
    <t>20/12/2017</t>
  </si>
  <si>
    <t>Xí nghiệp tài nguyên và môi trường 2</t>
  </si>
  <si>
    <t>31/12/2017</t>
  </si>
  <si>
    <t>27/12/2017</t>
  </si>
  <si>
    <t>15/12/2017</t>
  </si>
  <si>
    <t>06/12/2017</t>
  </si>
  <si>
    <t>19/12/2017</t>
  </si>
  <si>
    <t>Xí nghiệp tài nguyên và môi trường 6</t>
  </si>
  <si>
    <t>29/12/2017</t>
  </si>
  <si>
    <t>Xí nghiệp trắc địa bản đồ 203</t>
  </si>
  <si>
    <t>12/12/2017</t>
  </si>
  <si>
    <t>18/12/2017</t>
  </si>
  <si>
    <t>Phường Hải Hoà</t>
  </si>
  <si>
    <t>Chi nhánh công ty TNHH MTV TN và MT miền Nam xí nghiệp trắc địa bản đồ 103</t>
  </si>
  <si>
    <t>30/12/2017</t>
  </si>
  <si>
    <t>Hoà Lạc</t>
  </si>
  <si>
    <t>Xí nghiệp trắc địa bàn đồ 204</t>
  </si>
  <si>
    <t>Cẩm hải</t>
  </si>
  <si>
    <t>Công ty cổ phần trắc địa bàn đồ và môi trường sông tô</t>
  </si>
  <si>
    <t>cộng hoà</t>
  </si>
  <si>
    <t>dương huy</t>
  </si>
  <si>
    <t>Trung tâm trắc nghiệm địa chính</t>
  </si>
  <si>
    <t>Xí nghiệp trắc địa bản đồ 204</t>
  </si>
  <si>
    <t>10/10'2008</t>
  </si>
  <si>
    <t>Trung tâm CNTT tài nguyên và Môi trường</t>
  </si>
  <si>
    <t>05/10/2017</t>
  </si>
  <si>
    <t>10/10/2008</t>
  </si>
  <si>
    <t>04/08/2008</t>
  </si>
  <si>
    <t>Xí nghiệp tài nguyên môi trường 3</t>
  </si>
  <si>
    <t>19/12/2013</t>
  </si>
  <si>
    <t>Trung tâm kỹ thuật địa chính</t>
  </si>
  <si>
    <t>Văn phòng đăng ký quyền sử dụng đất tỉnh Quảng Ninh</t>
  </si>
  <si>
    <t>Chi nhánh xí nghiệp tài nguyên và môi trường 7</t>
  </si>
  <si>
    <t>Xã Tình Húc</t>
  </si>
  <si>
    <t>09/07/2019</t>
  </si>
  <si>
    <t>17/04/2013</t>
  </si>
  <si>
    <t>24/12/2012</t>
  </si>
  <si>
    <t>12/04/2013</t>
  </si>
  <si>
    <t>15/04/2013</t>
  </si>
  <si>
    <t>Chi nhánh công ty tài nguyên và môi trường miền nam - xí nghiệp trắc địa bản đồ 103</t>
  </si>
  <si>
    <t>31/12/2014</t>
  </si>
  <si>
    <t>21/10/2016</t>
  </si>
  <si>
    <t>22/04/'2013</t>
  </si>
  <si>
    <t xml:space="preserve">Chi nhánh công ty tài nguyên và môi trường miền nam </t>
  </si>
  <si>
    <t>25/11/2014</t>
  </si>
  <si>
    <t>15/08/2014</t>
  </si>
  <si>
    <t xml:space="preserve">Đại Thành </t>
  </si>
  <si>
    <t>12/01/2013</t>
  </si>
  <si>
    <t>Chi nhánh xí nghiệp tài nguyên và môi trường 4</t>
  </si>
  <si>
    <t>Chi nhánh xí nghiệp tài nguyên và môi trường 3</t>
  </si>
  <si>
    <t>Công ty địa chính tư vấn và dịch vụ đất đai</t>
  </si>
  <si>
    <t>quảng lợi</t>
  </si>
  <si>
    <t>quảng thắng</t>
  </si>
  <si>
    <t>Trung tâm kĩ thuật địa chính quảng ninh</t>
  </si>
  <si>
    <t>tiến tới</t>
  </si>
  <si>
    <t>Phú Hải</t>
  </si>
  <si>
    <t>Quảng điền</t>
  </si>
  <si>
    <t>Công ty cổ phần KSTK và XD miền bắc</t>
  </si>
  <si>
    <t>15/11/2012</t>
  </si>
  <si>
    <t>Tất cả ba chẽ (Lâm nghiệp)</t>
  </si>
  <si>
    <t>Trung tâm phát triển quỹ đất tỉnh Quảng Ninh</t>
  </si>
  <si>
    <t>Lương Mông</t>
  </si>
  <si>
    <t>Chi nhánh công ty TNHH 1 Thành viên tài nguyên và môi trường miền nam - XNTĐBĐ 103</t>
  </si>
  <si>
    <t>Minh Cầm</t>
  </si>
  <si>
    <t>29/11/2019</t>
  </si>
  <si>
    <t>20/03/2012</t>
  </si>
  <si>
    <t>30/07/2012</t>
  </si>
  <si>
    <t>Công ty cổ phần tư vấn khảo sát mỏ địa chất</t>
  </si>
  <si>
    <t>15/12/2012</t>
  </si>
  <si>
    <t>07/12/2012</t>
  </si>
  <si>
    <t>04/12/2019</t>
  </si>
  <si>
    <t>30/01/2013</t>
  </si>
  <si>
    <t>Chi nhánh công ty tài nguyên và môi trường miền nam</t>
  </si>
  <si>
    <t>30/12/2011</t>
  </si>
  <si>
    <t>Chi nhánh công ty Tài nguyên và môi trường miền nam- xí nghiệp Trắc địa bản đồ 103</t>
  </si>
  <si>
    <t>16/12/2011</t>
  </si>
  <si>
    <t>20/12/2012</t>
  </si>
  <si>
    <t>Công ty tư vấn địa chính và dịch vụ đất đai</t>
  </si>
  <si>
    <t>tân việt</t>
  </si>
  <si>
    <t>thị trấn đông triều</t>
  </si>
  <si>
    <t>24/12/2013</t>
  </si>
  <si>
    <t>07/11/2012</t>
  </si>
  <si>
    <t>24/04/2013</t>
  </si>
  <si>
    <t>Chi nhánh công ty TNHH Một thànhviên tài nguyên và môi trường miền nam- xí nghiệp trắc địa bản đồ 203</t>
  </si>
  <si>
    <t>15/12/2014</t>
  </si>
  <si>
    <t>Xí nghiệp tài nguyên và môi trường 2 - tổng công ty tài nguyên và môi trường Việt Nam</t>
  </si>
  <si>
    <t>10/12/2015</t>
  </si>
  <si>
    <t>10/12/2014</t>
  </si>
  <si>
    <t xml:space="preserve">Chi nhánh công ty TNHH MTV TN và MT miền Nam </t>
  </si>
  <si>
    <t>24/01/2014</t>
  </si>
  <si>
    <t>08/01/2015</t>
  </si>
  <si>
    <t>29/04/2014</t>
  </si>
  <si>
    <t>12/12/2014</t>
  </si>
  <si>
    <t xml:space="preserve">Trung tâm phát triển quỹ đất </t>
  </si>
  <si>
    <t>Phường Nam Hoà</t>
  </si>
  <si>
    <t>29/06/2018</t>
  </si>
  <si>
    <t>23/05/2016</t>
  </si>
  <si>
    <t>Xí nghiệp chụp ảnh hàng không</t>
  </si>
  <si>
    <t>15/01/2015</t>
  </si>
  <si>
    <t>26/01/2015</t>
  </si>
  <si>
    <t>chi nhánh xí nghiệp tài nguyên và môi trường 7</t>
  </si>
  <si>
    <t>04/06/2015</t>
  </si>
  <si>
    <t>23/07/2014</t>
  </si>
  <si>
    <t>16/06/2012</t>
  </si>
  <si>
    <t>0691019005374</t>
  </si>
  <si>
    <t>Nguyễn Văn Quý</t>
  </si>
  <si>
    <t>Thôn Tây</t>
  </si>
  <si>
    <t>Thôn Tây, xã Dực Yên, huyện Đầm Hà, tỉnh Quảng Ninh</t>
  </si>
  <si>
    <t>Đặng Thị Thủy</t>
  </si>
  <si>
    <t>CT 909066</t>
  </si>
  <si>
    <t>Đến ngày 17/08/2068</t>
  </si>
  <si>
    <t>Đến ngày 17/08/2069</t>
  </si>
  <si>
    <t>Đến ngày 17/08/2070</t>
  </si>
  <si>
    <t>CH 00547</t>
  </si>
  <si>
    <t>20/9/2021</t>
  </si>
  <si>
    <t>CT 909067</t>
  </si>
  <si>
    <t>CT 909068</t>
  </si>
  <si>
    <t>CT 909069</t>
  </si>
  <si>
    <t>CT 909057</t>
  </si>
  <si>
    <t>0691019005365</t>
  </si>
  <si>
    <t>Đặng Văn Mươi</t>
  </si>
  <si>
    <t>Trần Thị Hải</t>
  </si>
  <si>
    <t>030157001826</t>
  </si>
  <si>
    <t>CH 00552</t>
  </si>
  <si>
    <t>21/09/2021</t>
  </si>
  <si>
    <t>0691019005376</t>
  </si>
  <si>
    <t>Hoàng Văn Phương</t>
  </si>
  <si>
    <t>Nguyễn Thị Hảo</t>
  </si>
  <si>
    <t>CH 00493</t>
  </si>
  <si>
    <t>25/02/2021</t>
  </si>
  <si>
    <t>CT 909072</t>
  </si>
  <si>
    <t>0691019005380</t>
  </si>
  <si>
    <t>Nguyễn Văn Vĩnh</t>
  </si>
  <si>
    <t>CT 909073</t>
  </si>
  <si>
    <t>031066001610</t>
  </si>
  <si>
    <t>Đỗ Thị Nền</t>
  </si>
  <si>
    <t>188,3</t>
  </si>
  <si>
    <t>Tờ bàn
đồ số</t>
  </si>
  <si>
    <t>Thừa
đất số</t>
  </si>
  <si>
    <t>Diện tích
(m2)</t>
  </si>
  <si>
    <t>Hình thức
sử dụng</t>
  </si>
  <si>
    <t>Mục đích sử dụng</t>
  </si>
  <si>
    <t>Thời hạn
sử dụng</t>
  </si>
  <si>
    <t>Nguồn gổc sử dụng</t>
  </si>
  <si>
    <t xml:space="preserve">166,5 </t>
  </si>
  <si>
    <t>Sử dụng
riêng</t>
  </si>
  <si>
    <t>Đẩt trồng lúa nước
còn lạĩ</t>
  </si>
  <si>
    <t>Đến ngày
17/08/2067</t>
  </si>
  <si>
    <t>Nhà nước giao đất không thu tiền
sử dụng đất</t>
  </si>
  <si>
    <t xml:space="preserve">112,7 </t>
  </si>
  <si>
    <t>Đất trồng lúa nước
còn lại</t>
  </si>
  <si>
    <t>Đen ngày
17/08/2067</t>
  </si>
  <si>
    <t xml:space="preserve">114,3/ </t>
  </si>
  <si>
    <t>Sừ dụng
riêng</t>
  </si>
  <si>
    <t xml:space="preserve">. 31 </t>
  </si>
  <si>
    <t xml:space="preserve">109,5 </t>
  </si>
  <si>
    <t>Đất ừồng lúa nước
còn lại</t>
  </si>
  <si>
    <t>CH 00526</t>
  </si>
  <si>
    <t>19/03/2021</t>
  </si>
  <si>
    <t>19/03/2022</t>
  </si>
  <si>
    <t>19/03/2023</t>
  </si>
  <si>
    <t>19/03/2024</t>
  </si>
  <si>
    <t>19/03/2025</t>
  </si>
  <si>
    <t>CT909066</t>
  </si>
  <si>
    <t>CT 909084</t>
  </si>
  <si>
    <t>0691019005392</t>
  </si>
  <si>
    <t>Nguyễn Văn Vinh</t>
  </si>
  <si>
    <t>Hoàng Thị Xuân</t>
  </si>
  <si>
    <t>ờ bàn
đồ sổ</t>
  </si>
  <si>
    <t>Mục đích sừ dụng</t>
  </si>
  <si>
    <t>Thời hạn
sừ dụng</t>
  </si>
  <si>
    <t xml:space="preserve">700,8 </t>
  </si>
  <si>
    <t>Đất chuyên trồng lúa
nước</t>
  </si>
  <si>
    <t>Nhà nước giao đất không thu tiền
sừ dụng đất</t>
  </si>
  <si>
    <t xml:space="preserve">700,3 </t>
  </si>
  <si>
    <t>Đất chuyên trong lúa
nước</t>
  </si>
  <si>
    <t>Nhà nước giao đất không thu tiền
sù dụng đất</t>
  </si>
  <si>
    <t>561,0</t>
  </si>
  <si>
    <t xml:space="preserve">588,7 </t>
  </si>
  <si>
    <t>Đển ngày
17/08/2067</t>
  </si>
  <si>
    <t>2. Nhà ở: -/-</t>
  </si>
  <si>
    <t>CH 00477</t>
  </si>
  <si>
    <t>CT909084</t>
  </si>
  <si>
    <t>CT 909101</t>
  </si>
  <si>
    <t>0691019005145</t>
  </si>
  <si>
    <t>Phạm Minh Tuấn</t>
  </si>
  <si>
    <t>030069004178</t>
  </si>
  <si>
    <t>Nguyễn Thị Thắm</t>
  </si>
  <si>
    <t>022171000831</t>
  </si>
  <si>
    <t>Tờ bản
đồ số</t>
  </si>
  <si>
    <t>Thửa
đất số</t>
  </si>
  <si>
    <t>Diện tích
(m1)</t>
  </si>
  <si>
    <t>Thời hạn sử
dụng</t>
  </si>
  <si>
    <t>Nguồn gốc sừ dụng</t>
  </si>
  <si>
    <t xml:space="preserve">293,0 </t>
  </si>
  <si>
    <t>Đẩt bằng trồng cây
hàng năm khác</t>
  </si>
  <si>
    <t>Nhà nước giao đất không thu
tiền sử dụng đẩt</t>
  </si>
  <si>
    <t xml:space="preserve">607,5 </t>
  </si>
  <si>
    <t>Đất bàng trồng cây
hàng nàm khác</t>
  </si>
  <si>
    <t>Nhà nước giao đất không thu
tiền sừ dụng đất</t>
  </si>
  <si>
    <t xml:space="preserve">265,5 </t>
  </si>
  <si>
    <t>Đất'trồng lúa nước
còn lại</t>
  </si>
  <si>
    <t>Nhà nước giao đất không thu
tiền sử dụng đất</t>
  </si>
  <si>
    <t>CH 002229</t>
  </si>
  <si>
    <t>CT909101</t>
  </si>
  <si>
    <t>CM 204646</t>
  </si>
  <si>
    <t>0691319002699</t>
  </si>
  <si>
    <t>Nguyễn Hữu Nhượng</t>
  </si>
  <si>
    <t>022082002195</t>
  </si>
  <si>
    <t>Phố Hoàng Ngân</t>
  </si>
  <si>
    <t>thị trấn Đầm Hà, huyện Đầm Hà, tỉnh Quảng Ninh</t>
  </si>
  <si>
    <t>Phố Hoàng Ngân, thị trấn Đầm Hà, huyện Đầm Hà, tỉnh Quảng Ninh</t>
  </si>
  <si>
    <t>Trịnh Thị Diệu Thúy</t>
  </si>
  <si>
    <t xml:space="preserve">Hình thức
sử dụng </t>
  </si>
  <si>
    <t xml:space="preserve">1318,4 </t>
  </si>
  <si>
    <t xml:space="preserve">Đất chuyên trồng lúa
nước </t>
  </si>
  <si>
    <t>20/06/2065</t>
  </si>
  <si>
    <t>Nhận chuyển nhượng đất được
Nhà nước giao đất không thu tiền
sử dụng đất</t>
  </si>
  <si>
    <t xml:space="preserve">1008,9 </t>
  </si>
  <si>
    <t>CH00160</t>
  </si>
  <si>
    <t>CH00161</t>
  </si>
  <si>
    <t>31/03/2020</t>
  </si>
  <si>
    <t>31/03/2021</t>
  </si>
  <si>
    <t>Phạm Văn Kha</t>
  </si>
  <si>
    <t>CM 204649</t>
  </si>
  <si>
    <t>CM 204650</t>
  </si>
  <si>
    <t>0691319002702</t>
  </si>
  <si>
    <t>ờ bản
đồ sổ</t>
  </si>
  <si>
    <t xml:space="preserve">191,7 </t>
  </si>
  <si>
    <t xml:space="preserve">Đất trồng cây hàng
nãm khác </t>
  </si>
  <si>
    <t xml:space="preserve">252,8 </t>
  </si>
  <si>
    <t xml:space="preserve">477,6 </t>
  </si>
  <si>
    <t>xã Quảng Tân, huyện Đầm Hà, tỉnh Quảng Ninh</t>
  </si>
  <si>
    <t>thôn Tân Thanh, xã Quảng Tân, huyện Đầm Hà, tỉnh Quảng Ninh</t>
  </si>
  <si>
    <t>134.1</t>
  </si>
  <si>
    <t>344.2</t>
  </si>
  <si>
    <t>277</t>
  </si>
  <si>
    <t>234</t>
  </si>
  <si>
    <t>543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</si>
</sst>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53">
    <font>
      <sz val="11"/>
      <name val="Calibri"/>
    </font>
    <font>
      <sz val="11"/>
      <color theme="1"/>
      <name val="Calibri"/>
      <family val="2"/>
      <charset val="163"/>
      <scheme val="minor"/>
    </font>
    <font>
      <sz val="11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3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rgb="FF00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Calibri"/>
      <family val="2"/>
    </font>
    <font>
      <sz val="10"/>
      <name val="Times New Roman"/>
      <family val="1"/>
    </font>
    <font>
      <sz val="11"/>
      <color rgb="FFFF0000"/>
      <name val="Calibri"/>
      <family val="2"/>
    </font>
    <font>
      <b/>
      <i/>
      <sz val="10"/>
      <name val="Times New Roman"/>
      <family val="1"/>
    </font>
    <font>
      <b/>
      <i/>
      <sz val="11"/>
      <name val="Times New Roman"/>
      <family val="1"/>
    </font>
    <font>
      <sz val="10"/>
      <color rgb="FF000000"/>
      <name val="Calibri"/>
      <family val="2"/>
      <scheme val="minor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rgb="FF222222"/>
      <name val="Times New Roman"/>
      <family val="1"/>
    </font>
    <font>
      <i/>
      <sz val="13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Arial"/>
      <family val="2"/>
    </font>
    <font>
      <sz val="14"/>
      <name val="Calibri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TimesNewRomanPSMT"/>
    </font>
    <font>
      <i/>
      <sz val="11"/>
      <color rgb="FF000000"/>
      <name val="TimesNewRomanPS-ItalicMT"/>
    </font>
    <font>
      <b/>
      <sz val="11"/>
      <color rgb="FF000000"/>
      <name val="TimesNewRomanPS-BoldMT"/>
    </font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333333"/>
      <name val="Times New Roman"/>
      <family val="1"/>
    </font>
    <font>
      <sz val="7"/>
      <color rgb="FF000000"/>
      <name val="TimesNewRomanPSMT"/>
    </font>
    <font>
      <b/>
      <sz val="12"/>
      <name val="Times New Roman"/>
      <family val="1"/>
    </font>
    <font>
      <b/>
      <sz val="9"/>
      <color rgb="FF1F1F27"/>
      <name val="TimesNewRomanPS-BoldMT"/>
    </font>
    <font>
      <sz val="9"/>
      <color rgb="FF1F1F27"/>
      <name val="TimesNewRomanPSMT"/>
    </font>
    <font>
      <b/>
      <sz val="12"/>
      <name val="TimesNewRomanPS-BoldMT"/>
    </font>
    <font>
      <b/>
      <sz val="12"/>
      <name val="TimesNewRomanPSMT"/>
    </font>
    <font>
      <b/>
      <sz val="12"/>
      <name val="Calibri"/>
      <family val="2"/>
    </font>
    <font>
      <b/>
      <sz val="12"/>
      <color rgb="FF1F1F27"/>
      <name val="TimesNewRomanPS-BoldMT"/>
    </font>
    <font>
      <sz val="12"/>
      <color rgb="FF1F1F27"/>
      <name val="TimesNewRomanPSMT"/>
    </font>
    <font>
      <sz val="7"/>
      <color rgb="FF37363F"/>
      <name val="TimesNewRomanPSMT"/>
    </font>
    <font>
      <sz val="7"/>
      <color rgb="FF1F1F27"/>
      <name val="TimesNewRomanPSMT"/>
    </font>
    <font>
      <sz val="11"/>
      <color rgb="FF1F1F27"/>
      <name val="TimesNewRomanPSMT"/>
    </font>
    <font>
      <sz val="7"/>
      <color rgb="FF201F27"/>
      <name val="TimesNewRomanPSMT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EBEBE"/>
        <bgColor rgb="FFBEBEBE"/>
      </patternFill>
    </fill>
    <fill>
      <patternFill patternType="solid">
        <fgColor rgb="FFFFFFFF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404040"/>
        <bgColor rgb="FF3333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9">
    <xf numFmtId="0" fontId="0" fillId="0" borderId="0"/>
    <xf numFmtId="0" fontId="3" fillId="0" borderId="0"/>
    <xf numFmtId="0" fontId="4" fillId="0" borderId="0"/>
    <xf numFmtId="0" fontId="2" fillId="0" borderId="0"/>
    <xf numFmtId="43" fontId="2" fillId="0" borderId="0"/>
    <xf numFmtId="0" fontId="16" fillId="0" borderId="0"/>
    <xf numFmtId="0" fontId="1" fillId="0" borderId="0"/>
    <xf numFmtId="0" fontId="21" fillId="0" borderId="0"/>
    <xf numFmtId="0" fontId="35" fillId="0" borderId="0"/>
  </cellStyleXfs>
  <cellXfs count="175"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wrapText="1"/>
    </xf>
    <xf numFmtId="0" fontId="8" fillId="0" borderId="1" xfId="1" applyFont="1" applyBorder="1" applyAlignment="1">
      <alignment horizontal="center"/>
    </xf>
    <xf numFmtId="0" fontId="9" fillId="0" borderId="1" xfId="1" applyFont="1" applyBorder="1" applyAlignment="1">
      <alignment horizontal="center"/>
    </xf>
    <xf numFmtId="0" fontId="9" fillId="0" borderId="1" xfId="1" applyFont="1" applyBorder="1" applyAlignment="1">
      <alignment horizontal="left"/>
    </xf>
    <xf numFmtId="0" fontId="10" fillId="0" borderId="1" xfId="1" applyFont="1" applyBorder="1" applyAlignment="1">
      <alignment horizontal="left"/>
    </xf>
    <xf numFmtId="0" fontId="6" fillId="0" borderId="0" xfId="0" applyFont="1" applyAlignment="1">
      <alignment horizontal="center"/>
    </xf>
    <xf numFmtId="0" fontId="6" fillId="0" borderId="0" xfId="0" applyFont="1"/>
    <xf numFmtId="49" fontId="2" fillId="0" borderId="0" xfId="3" applyNumberFormat="1" applyAlignment="1">
      <alignment horizontal="center"/>
    </xf>
    <xf numFmtId="49" fontId="2" fillId="0" borderId="0" xfId="3" applyNumberFormat="1" applyAlignment="1">
      <alignment horizontal="left"/>
    </xf>
    <xf numFmtId="0" fontId="14" fillId="0" borderId="0" xfId="5" applyFont="1" applyAlignment="1">
      <alignment horizontal="center" vertical="center" wrapText="1"/>
    </xf>
    <xf numFmtId="0" fontId="6" fillId="0" borderId="0" xfId="5" applyFont="1"/>
    <xf numFmtId="0" fontId="15" fillId="0" borderId="0" xfId="5" applyFont="1" applyAlignment="1">
      <alignment horizontal="center"/>
    </xf>
    <xf numFmtId="0" fontId="6" fillId="0" borderId="0" xfId="5" applyFont="1" applyAlignment="1">
      <alignment horizontal="center"/>
    </xf>
    <xf numFmtId="49" fontId="18" fillId="0" borderId="0" xfId="3" applyNumberFormat="1" applyFont="1" applyAlignment="1">
      <alignment horizontal="center"/>
    </xf>
    <xf numFmtId="49" fontId="11" fillId="0" borderId="1" xfId="0" applyNumberFormat="1" applyFont="1" applyBorder="1" applyAlignment="1">
      <alignment horizontal="center" vertical="center" wrapText="1"/>
    </xf>
    <xf numFmtId="49" fontId="7" fillId="3" borderId="1" xfId="3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49" fontId="7" fillId="2" borderId="1" xfId="3" applyNumberFormat="1" applyFont="1" applyFill="1" applyBorder="1" applyAlignment="1">
      <alignment horizontal="center" vertical="center" wrapText="1"/>
    </xf>
    <xf numFmtId="0" fontId="6" fillId="2" borderId="0" xfId="5" applyFont="1" applyFill="1"/>
    <xf numFmtId="49" fontId="17" fillId="0" borderId="1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1" xfId="0" applyFont="1" applyBorder="1" applyAlignment="1">
      <alignment vertical="center" wrapText="1"/>
    </xf>
    <xf numFmtId="0" fontId="24" fillId="0" borderId="0" xfId="0" applyFont="1" applyAlignment="1">
      <alignment vertical="center"/>
    </xf>
    <xf numFmtId="0" fontId="23" fillId="0" borderId="0" xfId="0" applyFont="1"/>
    <xf numFmtId="0" fontId="13" fillId="0" borderId="0" xfId="5" applyFont="1" applyFill="1" applyAlignment="1">
      <alignment horizontal="center" vertical="center" wrapText="1"/>
    </xf>
    <xf numFmtId="0" fontId="14" fillId="0" borderId="0" xfId="5" applyFont="1" applyFill="1" applyAlignment="1">
      <alignment horizontal="center" vertical="center" wrapText="1"/>
    </xf>
    <xf numFmtId="0" fontId="13" fillId="0" borderId="0" xfId="5" applyFont="1" applyFill="1" applyAlignment="1">
      <alignment vertical="center" wrapText="1"/>
    </xf>
    <xf numFmtId="0" fontId="7" fillId="0" borderId="0" xfId="5" applyFont="1" applyFill="1" applyAlignment="1">
      <alignment vertical="center" wrapText="1"/>
    </xf>
    <xf numFmtId="0" fontId="6" fillId="0" borderId="0" xfId="5" applyFont="1" applyFill="1"/>
    <xf numFmtId="0" fontId="14" fillId="0" borderId="8" xfId="5" applyFont="1" applyFill="1" applyBorder="1" applyAlignment="1">
      <alignment horizontal="center" vertical="center" wrapText="1"/>
    </xf>
    <xf numFmtId="0" fontId="14" fillId="0" borderId="9" xfId="5" applyFont="1" applyFill="1" applyBorder="1" applyAlignment="1">
      <alignment horizontal="center" vertical="center" wrapText="1"/>
    </xf>
    <xf numFmtId="0" fontId="14" fillId="0" borderId="10" xfId="5" applyFont="1" applyFill="1" applyBorder="1" applyAlignment="1">
      <alignment horizontal="center" vertical="center" wrapText="1"/>
    </xf>
    <xf numFmtId="0" fontId="14" fillId="0" borderId="11" xfId="5" applyFont="1" applyFill="1" applyBorder="1" applyAlignment="1">
      <alignment horizontal="center" vertical="center" wrapText="1"/>
    </xf>
    <xf numFmtId="0" fontId="7" fillId="0" borderId="0" xfId="5" applyFont="1" applyFill="1" applyAlignment="1">
      <alignment wrapText="1"/>
    </xf>
    <xf numFmtId="49" fontId="12" fillId="0" borderId="1" xfId="3" applyNumberFormat="1" applyFont="1" applyFill="1" applyBorder="1" applyAlignment="1">
      <alignment vertical="center" wrapText="1"/>
    </xf>
    <xf numFmtId="49" fontId="17" fillId="0" borderId="1" xfId="3" applyNumberFormat="1" applyFont="1" applyFill="1" applyBorder="1" applyAlignment="1">
      <alignment horizontal="center" vertical="center"/>
    </xf>
    <xf numFmtId="0" fontId="6" fillId="0" borderId="1" xfId="5" applyFont="1" applyFill="1" applyBorder="1" applyAlignment="1">
      <alignment horizontal="center" vertical="center" wrapText="1"/>
    </xf>
    <xf numFmtId="0" fontId="6" fillId="0" borderId="1" xfId="5" applyFont="1" applyFill="1" applyBorder="1" applyAlignment="1">
      <alignment horizontal="left" vertical="center"/>
    </xf>
    <xf numFmtId="0" fontId="6" fillId="0" borderId="1" xfId="5" applyFont="1" applyFill="1" applyBorder="1"/>
    <xf numFmtId="49" fontId="17" fillId="0" borderId="1" xfId="3" applyNumberFormat="1" applyFont="1" applyFill="1" applyBorder="1" applyAlignment="1">
      <alignment horizontal="left" vertical="center" wrapText="1"/>
    </xf>
    <xf numFmtId="0" fontId="15" fillId="0" borderId="0" xfId="5" applyFont="1" applyFill="1"/>
    <xf numFmtId="49" fontId="19" fillId="0" borderId="1" xfId="3" applyNumberFormat="1" applyFont="1" applyFill="1" applyBorder="1" applyAlignment="1">
      <alignment horizontal="left" vertical="center" wrapText="1"/>
    </xf>
    <xf numFmtId="0" fontId="20" fillId="0" borderId="1" xfId="5" applyFont="1" applyFill="1" applyBorder="1" applyAlignment="1">
      <alignment vertical="center"/>
    </xf>
    <xf numFmtId="0" fontId="6" fillId="0" borderId="0" xfId="5" applyFont="1" applyFill="1" applyAlignment="1">
      <alignment vertical="center"/>
    </xf>
    <xf numFmtId="0" fontId="20" fillId="0" borderId="1" xfId="5" applyFont="1" applyFill="1" applyBorder="1"/>
    <xf numFmtId="0" fontId="20" fillId="0" borderId="1" xfId="5" applyFont="1" applyFill="1" applyBorder="1" applyAlignment="1">
      <alignment horizontal="left" wrapText="1"/>
    </xf>
    <xf numFmtId="0" fontId="6" fillId="0" borderId="0" xfId="5" applyFont="1" applyFill="1" applyAlignment="1">
      <alignment wrapText="1"/>
    </xf>
    <xf numFmtId="0" fontId="6" fillId="0" borderId="1" xfId="5" applyFont="1" applyFill="1" applyBorder="1" applyAlignment="1">
      <alignment vertical="center"/>
    </xf>
    <xf numFmtId="0" fontId="6" fillId="0" borderId="0" xfId="5" quotePrefix="1" applyFont="1" applyFill="1" applyAlignment="1">
      <alignment vertical="center" wrapText="1"/>
    </xf>
    <xf numFmtId="0" fontId="6" fillId="0" borderId="1" xfId="5" applyFont="1" applyFill="1" applyBorder="1" applyAlignment="1">
      <alignment vertical="center" wrapText="1"/>
    </xf>
    <xf numFmtId="0" fontId="6" fillId="0" borderId="0" xfId="5" applyFont="1" applyFill="1" applyAlignment="1">
      <alignment vertical="center" wrapText="1"/>
    </xf>
    <xf numFmtId="49" fontId="17" fillId="0" borderId="1" xfId="6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8" fillId="6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29" fillId="5" borderId="1" xfId="0" applyFont="1" applyFill="1" applyBorder="1" applyAlignment="1">
      <alignment vertical="center" wrapText="1"/>
    </xf>
    <xf numFmtId="0" fontId="30" fillId="4" borderId="13" xfId="0" applyFont="1" applyFill="1" applyBorder="1" applyAlignment="1">
      <alignment horizontal="center"/>
    </xf>
    <xf numFmtId="0" fontId="30" fillId="4" borderId="15" xfId="0" applyFont="1" applyFill="1" applyBorder="1" applyAlignment="1">
      <alignment horizontal="center" wrapText="1"/>
    </xf>
    <xf numFmtId="0" fontId="31" fillId="0" borderId="13" xfId="0" applyFont="1" applyBorder="1" applyAlignment="1">
      <alignment horizontal="center"/>
    </xf>
    <xf numFmtId="0" fontId="30" fillId="4" borderId="13" xfId="7" applyFont="1" applyFill="1" applyBorder="1" applyAlignment="1">
      <alignment horizontal="center"/>
    </xf>
    <xf numFmtId="0" fontId="30" fillId="4" borderId="13" xfId="7" applyFont="1" applyFill="1" applyBorder="1" applyAlignment="1">
      <alignment horizontal="center" wrapText="1"/>
    </xf>
    <xf numFmtId="0" fontId="21" fillId="0" borderId="0" xfId="7"/>
    <xf numFmtId="0" fontId="31" fillId="0" borderId="13" xfId="7" applyFont="1" applyBorder="1"/>
    <xf numFmtId="0" fontId="31" fillId="0" borderId="0" xfId="7" applyFont="1" applyAlignment="1">
      <alignment vertical="center" wrapText="1"/>
    </xf>
    <xf numFmtId="0" fontId="31" fillId="0" borderId="0" xfId="7" applyFont="1" applyAlignment="1">
      <alignment horizontal="center" vertical="center" wrapText="1"/>
    </xf>
    <xf numFmtId="0" fontId="32" fillId="0" borderId="1" xfId="0" applyFont="1" applyBorder="1" applyAlignment="1">
      <alignment vertical="center" wrapText="1"/>
    </xf>
    <xf numFmtId="0" fontId="33" fillId="0" borderId="1" xfId="0" applyFont="1" applyBorder="1" applyAlignment="1">
      <alignment vertical="center" wrapText="1"/>
    </xf>
    <xf numFmtId="0" fontId="30" fillId="4" borderId="1" xfId="7" applyFont="1" applyFill="1" applyBorder="1" applyAlignment="1">
      <alignment horizontal="center" vertical="center" wrapText="1"/>
    </xf>
    <xf numFmtId="0" fontId="31" fillId="0" borderId="1" xfId="7" applyFont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0" fillId="4" borderId="15" xfId="7" applyFont="1" applyFill="1" applyBorder="1" applyAlignment="1">
      <alignment horizontal="center"/>
    </xf>
    <xf numFmtId="0" fontId="31" fillId="0" borderId="14" xfId="7" applyFont="1" applyBorder="1" applyAlignment="1">
      <alignment horizontal="center"/>
    </xf>
    <xf numFmtId="0" fontId="31" fillId="0" borderId="16" xfId="7" applyFont="1" applyBorder="1"/>
    <xf numFmtId="0" fontId="34" fillId="0" borderId="1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0" fillId="4" borderId="15" xfId="7" applyFont="1" applyFill="1" applyBorder="1" applyAlignment="1">
      <alignment horizontal="center" wrapText="1"/>
    </xf>
    <xf numFmtId="0" fontId="23" fillId="0" borderId="1" xfId="0" applyFont="1" applyFill="1" applyBorder="1" applyAlignment="1">
      <alignment vertical="center" wrapText="1"/>
    </xf>
    <xf numFmtId="0" fontId="36" fillId="7" borderId="17" xfId="8" applyFont="1" applyFill="1" applyBorder="1" applyAlignment="1">
      <alignment horizontal="center" vertical="center" wrapText="1"/>
    </xf>
    <xf numFmtId="0" fontId="35" fillId="0" borderId="0" xfId="8"/>
    <xf numFmtId="0" fontId="4" fillId="0" borderId="17" xfId="8" applyFont="1" applyBorder="1" applyAlignment="1">
      <alignment horizontal="center" vertical="center"/>
    </xf>
    <xf numFmtId="0" fontId="4" fillId="0" borderId="17" xfId="8" applyFont="1" applyBorder="1" applyAlignment="1">
      <alignment horizontal="left" vertical="center" wrapText="1"/>
    </xf>
    <xf numFmtId="0" fontId="4" fillId="0" borderId="17" xfId="8" quotePrefix="1" applyFont="1" applyBorder="1" applyAlignment="1">
      <alignment horizontal="center" vertical="center"/>
    </xf>
    <xf numFmtId="0" fontId="37" fillId="0" borderId="1" xfId="6" applyFont="1" applyBorder="1"/>
    <xf numFmtId="0" fontId="37" fillId="0" borderId="4" xfId="6" applyFont="1" applyBorder="1"/>
    <xf numFmtId="0" fontId="37" fillId="0" borderId="0" xfId="6" applyFont="1"/>
    <xf numFmtId="0" fontId="38" fillId="0" borderId="1" xfId="6" applyFont="1" applyBorder="1"/>
    <xf numFmtId="0" fontId="39" fillId="5" borderId="1" xfId="6" applyFont="1" applyFill="1" applyBorder="1" applyAlignment="1">
      <alignment vertical="center" wrapText="1"/>
    </xf>
    <xf numFmtId="0" fontId="39" fillId="5" borderId="4" xfId="6" applyFont="1" applyFill="1" applyBorder="1" applyAlignment="1">
      <alignment vertical="center" wrapText="1"/>
    </xf>
    <xf numFmtId="14" fontId="38" fillId="0" borderId="1" xfId="6" applyNumberFormat="1" applyFont="1" applyBorder="1"/>
    <xf numFmtId="0" fontId="38" fillId="0" borderId="0" xfId="6" applyFont="1"/>
    <xf numFmtId="0" fontId="38" fillId="0" borderId="1" xfId="6" quotePrefix="1" applyFont="1" applyBorder="1" applyAlignment="1">
      <alignment horizontal="right"/>
    </xf>
    <xf numFmtId="14" fontId="38" fillId="0" borderId="1" xfId="6" quotePrefix="1" applyNumberFormat="1" applyFont="1" applyBorder="1" applyAlignment="1">
      <alignment horizontal="right"/>
    </xf>
    <xf numFmtId="0" fontId="38" fillId="0" borderId="1" xfId="6" quotePrefix="1" applyFont="1" applyBorder="1"/>
    <xf numFmtId="0" fontId="38" fillId="0" borderId="1" xfId="6" applyFont="1" applyBorder="1" applyAlignment="1">
      <alignment wrapText="1"/>
    </xf>
    <xf numFmtId="14" fontId="38" fillId="0" borderId="1" xfId="6" quotePrefix="1" applyNumberFormat="1" applyFont="1" applyBorder="1"/>
    <xf numFmtId="0" fontId="39" fillId="8" borderId="1" xfId="6" applyFont="1" applyFill="1" applyBorder="1" applyAlignment="1">
      <alignment vertical="center" wrapText="1"/>
    </xf>
    <xf numFmtId="0" fontId="38" fillId="0" borderId="1" xfId="6" applyFont="1" applyBorder="1" applyAlignment="1">
      <alignment horizontal="left"/>
    </xf>
    <xf numFmtId="0" fontId="38" fillId="0" borderId="2" xfId="6" applyFont="1" applyBorder="1"/>
    <xf numFmtId="0" fontId="14" fillId="0" borderId="0" xfId="5" applyFont="1" applyAlignment="1">
      <alignment horizontal="center" vertical="center" wrapText="1"/>
    </xf>
    <xf numFmtId="0" fontId="13" fillId="0" borderId="1" xfId="5" applyFont="1" applyFill="1" applyBorder="1" applyAlignment="1">
      <alignment horizontal="center" vertical="center" wrapText="1"/>
    </xf>
    <xf numFmtId="0" fontId="6" fillId="0" borderId="12" xfId="5" applyFont="1" applyFill="1" applyBorder="1" applyAlignment="1">
      <alignment horizontal="left" vertical="center"/>
    </xf>
    <xf numFmtId="0" fontId="6" fillId="0" borderId="0" xfId="5" applyFont="1" applyFill="1" applyAlignment="1">
      <alignment horizontal="left" vertical="center"/>
    </xf>
    <xf numFmtId="0" fontId="6" fillId="0" borderId="1" xfId="5" applyFont="1" applyFill="1" applyBorder="1" applyAlignment="1">
      <alignment horizontal="center" vertical="center" wrapText="1"/>
    </xf>
    <xf numFmtId="0" fontId="6" fillId="0" borderId="6" xfId="5" applyFont="1" applyFill="1" applyBorder="1" applyAlignment="1">
      <alignment horizontal="left" vertical="center"/>
    </xf>
    <xf numFmtId="0" fontId="6" fillId="0" borderId="7" xfId="5" applyFont="1" applyFill="1" applyBorder="1" applyAlignment="1">
      <alignment horizontal="left" vertical="center"/>
    </xf>
    <xf numFmtId="0" fontId="6" fillId="0" borderId="2" xfId="5" applyFont="1" applyFill="1" applyBorder="1" applyAlignment="1">
      <alignment horizontal="left" vertical="center"/>
    </xf>
    <xf numFmtId="49" fontId="7" fillId="3" borderId="6" xfId="3" applyNumberFormat="1" applyFont="1" applyFill="1" applyBorder="1" applyAlignment="1">
      <alignment horizontal="center" vertical="center" wrapText="1"/>
    </xf>
    <xf numFmtId="49" fontId="7" fillId="3" borderId="2" xfId="3" applyNumberFormat="1" applyFont="1" applyFill="1" applyBorder="1" applyAlignment="1">
      <alignment horizontal="center" vertical="center" wrapText="1"/>
    </xf>
    <xf numFmtId="49" fontId="7" fillId="2" borderId="6" xfId="3" applyNumberFormat="1" applyFont="1" applyFill="1" applyBorder="1" applyAlignment="1">
      <alignment horizontal="center" vertical="center" wrapText="1"/>
    </xf>
    <xf numFmtId="49" fontId="7" fillId="2" borderId="2" xfId="3" applyNumberFormat="1" applyFont="1" applyFill="1" applyBorder="1" applyAlignment="1">
      <alignment horizontal="center" vertical="center" wrapText="1"/>
    </xf>
    <xf numFmtId="49" fontId="7" fillId="3" borderId="4" xfId="3" applyNumberFormat="1" applyFont="1" applyFill="1" applyBorder="1" applyAlignment="1">
      <alignment horizontal="center" vertical="center" wrapText="1"/>
    </xf>
    <xf numFmtId="49" fontId="7" fillId="3" borderId="5" xfId="3" applyNumberFormat="1" applyFont="1" applyFill="1" applyBorder="1" applyAlignment="1">
      <alignment horizontal="center" vertical="center" wrapText="1"/>
    </xf>
    <xf numFmtId="49" fontId="7" fillId="3" borderId="3" xfId="3" applyNumberFormat="1" applyFont="1" applyFill="1" applyBorder="1" applyAlignment="1">
      <alignment horizontal="center" vertical="center" wrapText="1"/>
    </xf>
    <xf numFmtId="49" fontId="7" fillId="3" borderId="7" xfId="3" applyNumberFormat="1" applyFont="1" applyFill="1" applyBorder="1" applyAlignment="1">
      <alignment horizontal="center" vertical="center" wrapText="1"/>
    </xf>
    <xf numFmtId="49" fontId="7" fillId="3" borderId="4" xfId="0" applyNumberFormat="1" applyFont="1" applyFill="1" applyBorder="1" applyAlignment="1">
      <alignment horizontal="center" vertical="center" wrapText="1"/>
    </xf>
    <xf numFmtId="49" fontId="7" fillId="3" borderId="3" xfId="0" applyNumberFormat="1" applyFont="1" applyFill="1" applyBorder="1" applyAlignment="1">
      <alignment horizontal="center" vertical="center" wrapText="1"/>
    </xf>
    <xf numFmtId="49" fontId="7" fillId="3" borderId="5" xfId="0" applyNumberFormat="1" applyFont="1" applyFill="1" applyBorder="1" applyAlignment="1">
      <alignment horizontal="center" vertical="center" wrapText="1"/>
    </xf>
    <xf numFmtId="49" fontId="7" fillId="3" borderId="6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horizontal="center" vertical="center" wrapText="1"/>
    </xf>
    <xf numFmtId="0" fontId="40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/>
    <xf numFmtId="0" fontId="42" fillId="0" borderId="0" xfId="0" applyFont="1"/>
    <xf numFmtId="0" fontId="43" fillId="0" borderId="0" xfId="0" applyFont="1"/>
    <xf numFmtId="49" fontId="41" fillId="0" borderId="1" xfId="3" applyNumberFormat="1" applyFont="1" applyFill="1" applyBorder="1" applyAlignment="1">
      <alignment horizontal="center" vertical="center" wrapText="1"/>
    </xf>
    <xf numFmtId="49" fontId="41" fillId="0" borderId="1" xfId="0" applyNumberFormat="1" applyFont="1" applyFill="1" applyBorder="1" applyAlignment="1">
      <alignment horizontal="center" vertical="center" wrapText="1"/>
    </xf>
    <xf numFmtId="0" fontId="41" fillId="0" borderId="0" xfId="0" applyFont="1" applyFill="1"/>
    <xf numFmtId="49" fontId="41" fillId="0" borderId="6" xfId="3" applyNumberFormat="1" applyFont="1" applyFill="1" applyBorder="1" applyAlignment="1">
      <alignment horizontal="center" vertical="center" wrapText="1"/>
    </xf>
    <xf numFmtId="49" fontId="41" fillId="0" borderId="4" xfId="3" applyNumberFormat="1" applyFont="1" applyFill="1" applyBorder="1" applyAlignment="1">
      <alignment horizontal="center" vertical="center" wrapText="1"/>
    </xf>
    <xf numFmtId="49" fontId="41" fillId="0" borderId="3" xfId="3" applyNumberFormat="1" applyFont="1" applyFill="1" applyBorder="1" applyAlignment="1">
      <alignment horizontal="center" vertical="center" wrapText="1"/>
    </xf>
    <xf numFmtId="49" fontId="41" fillId="0" borderId="5" xfId="3" applyNumberFormat="1" applyFont="1" applyFill="1" applyBorder="1" applyAlignment="1">
      <alignment horizontal="center" vertical="center" wrapText="1"/>
    </xf>
    <xf numFmtId="49" fontId="41" fillId="0" borderId="1" xfId="3" applyNumberFormat="1" applyFont="1" applyFill="1" applyBorder="1" applyAlignment="1">
      <alignment horizontal="center" vertical="center" wrapText="1"/>
    </xf>
    <xf numFmtId="49" fontId="41" fillId="0" borderId="2" xfId="3" applyNumberFormat="1" applyFont="1" applyFill="1" applyBorder="1" applyAlignment="1">
      <alignment horizontal="center" vertical="center" wrapText="1"/>
    </xf>
    <xf numFmtId="49" fontId="41" fillId="0" borderId="1" xfId="0" applyNumberFormat="1" applyFont="1" applyFill="1" applyBorder="1" applyAlignment="1">
      <alignment horizontal="center" vertical="center" wrapText="1"/>
    </xf>
    <xf numFmtId="49" fontId="41" fillId="0" borderId="1" xfId="3" applyNumberFormat="1" applyFont="1" applyFill="1" applyBorder="1" applyAlignment="1">
      <alignment horizontal="center" vertical="center"/>
    </xf>
    <xf numFmtId="0" fontId="41" fillId="0" borderId="1" xfId="0" quotePrefix="1" applyFont="1" applyFill="1" applyBorder="1" applyAlignment="1">
      <alignment horizontal="center"/>
    </xf>
    <xf numFmtId="0" fontId="41" fillId="0" borderId="1" xfId="0" quotePrefix="1" applyFont="1" applyFill="1" applyBorder="1"/>
    <xf numFmtId="0" fontId="41" fillId="0" borderId="1" xfId="0" applyFont="1" applyFill="1" applyBorder="1"/>
    <xf numFmtId="0" fontId="41" fillId="0" borderId="1" xfId="0" applyFont="1" applyFill="1" applyBorder="1" applyAlignment="1">
      <alignment horizontal="center"/>
    </xf>
    <xf numFmtId="49" fontId="41" fillId="0" borderId="1" xfId="0" applyNumberFormat="1" applyFont="1" applyFill="1" applyBorder="1"/>
    <xf numFmtId="14" fontId="41" fillId="0" borderId="1" xfId="0" applyNumberFormat="1" applyFont="1" applyFill="1" applyBorder="1"/>
    <xf numFmtId="0" fontId="41" fillId="0" borderId="1" xfId="0" applyFont="1" applyFill="1" applyBorder="1" applyAlignment="1"/>
    <xf numFmtId="49" fontId="41" fillId="0" borderId="1" xfId="0" applyNumberFormat="1" applyFont="1" applyFill="1" applyBorder="1" applyAlignment="1">
      <alignment horizontal="center"/>
    </xf>
    <xf numFmtId="49" fontId="41" fillId="0" borderId="1" xfId="0" quotePrefix="1" applyNumberFormat="1" applyFont="1" applyFill="1" applyBorder="1"/>
    <xf numFmtId="20" fontId="41" fillId="0" borderId="1" xfId="0" quotePrefix="1" applyNumberFormat="1" applyFont="1" applyFill="1" applyBorder="1" applyAlignment="1">
      <alignment horizontal="center"/>
    </xf>
    <xf numFmtId="0" fontId="44" fillId="0" borderId="0" xfId="0" applyFont="1" applyFill="1"/>
    <xf numFmtId="0" fontId="45" fillId="0" borderId="1" xfId="0" applyFont="1" applyFill="1" applyBorder="1" applyAlignment="1">
      <alignment vertical="center" wrapText="1"/>
    </xf>
    <xf numFmtId="20" fontId="41" fillId="0" borderId="1" xfId="0" applyNumberFormat="1" applyFont="1" applyFill="1" applyBorder="1"/>
    <xf numFmtId="0" fontId="45" fillId="0" borderId="0" xfId="0" applyFont="1" applyFill="1"/>
    <xf numFmtId="49" fontId="45" fillId="0" borderId="0" xfId="0" quotePrefix="1" applyNumberFormat="1" applyFont="1" applyFill="1"/>
    <xf numFmtId="49" fontId="45" fillId="0" borderId="0" xfId="0" applyNumberFormat="1" applyFont="1" applyFill="1"/>
    <xf numFmtId="0" fontId="46" fillId="0" borderId="0" xfId="0" applyFont="1" applyFill="1"/>
    <xf numFmtId="0" fontId="44" fillId="0" borderId="1" xfId="0" applyFont="1" applyFill="1" applyBorder="1" applyAlignment="1">
      <alignment vertical="center" wrapText="1"/>
    </xf>
    <xf numFmtId="0" fontId="45" fillId="0" borderId="1" xfId="0" quotePrefix="1" applyFont="1" applyFill="1" applyBorder="1" applyAlignment="1">
      <alignment vertical="center" wrapText="1"/>
    </xf>
    <xf numFmtId="0" fontId="47" fillId="0" borderId="0" xfId="0" applyFont="1"/>
    <xf numFmtId="0" fontId="48" fillId="0" borderId="0" xfId="0" quotePrefix="1" applyFont="1"/>
    <xf numFmtId="49" fontId="41" fillId="0" borderId="0" xfId="0" applyNumberFormat="1" applyFont="1" applyFill="1"/>
    <xf numFmtId="0" fontId="49" fillId="0" borderId="1" xfId="0" applyFont="1" applyBorder="1" applyAlignment="1">
      <alignment vertical="center" wrapText="1"/>
    </xf>
    <xf numFmtId="0" fontId="50" fillId="0" borderId="1" xfId="0" applyFont="1" applyBorder="1" applyAlignment="1">
      <alignment vertical="center" wrapText="1"/>
    </xf>
    <xf numFmtId="0" fontId="41" fillId="9" borderId="1" xfId="0" applyFont="1" applyFill="1" applyBorder="1"/>
    <xf numFmtId="0" fontId="50" fillId="0" borderId="0" xfId="0" applyFont="1"/>
    <xf numFmtId="0" fontId="51" fillId="0" borderId="0" xfId="0" applyFont="1"/>
    <xf numFmtId="0" fontId="52" fillId="0" borderId="1" xfId="0" applyFont="1" applyBorder="1" applyAlignment="1">
      <alignment vertical="center" wrapText="1"/>
    </xf>
  </cellXfs>
  <cellStyles count="9">
    <cellStyle name="Comma 2" xfId="4"/>
    <cellStyle name="Normal" xfId="0" builtinId="0"/>
    <cellStyle name="Normal 2" xfId="1"/>
    <cellStyle name="Normal 2 2" xfId="3"/>
    <cellStyle name="Normal 2 3" xfId="5"/>
    <cellStyle name="Normal 3" xfId="2"/>
    <cellStyle name="Normal 4" xfId="6"/>
    <cellStyle name="Normal 5" xfId="7"/>
    <cellStyle name="Normal 6" xfId="8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E110"/>
  <sheetViews>
    <sheetView tabSelected="1" zoomScale="62" zoomScaleNormal="175" workbookViewId="0">
      <pane ySplit="3" topLeftCell="A4" activePane="bottomLeft" state="frozen"/>
      <selection activeCell="BC1" sqref="BC1"/>
      <selection pane="bottomLeft" activeCell="B47" sqref="B47"/>
    </sheetView>
  </sheetViews>
  <sheetFormatPr defaultColWidth="9.109375" defaultRowHeight="15.6"/>
  <cols>
    <col min="1" max="1" width="7.6640625" style="138" customWidth="1"/>
    <col min="2" max="2" width="14.109375" style="138" bestFit="1" customWidth="1"/>
    <col min="3" max="3" width="9.33203125" style="138" customWidth="1"/>
    <col min="4" max="4" width="15.6640625" style="138" customWidth="1"/>
    <col min="5" max="5" width="12.44140625" style="138" customWidth="1"/>
    <col min="6" max="6" width="8" style="138" customWidth="1"/>
    <col min="7" max="8" width="9" style="138" customWidth="1"/>
    <col min="9" max="9" width="24.109375" style="138" customWidth="1"/>
    <col min="10" max="10" width="7.109375" style="138" customWidth="1"/>
    <col min="11" max="11" width="10.88671875" style="138" customWidth="1"/>
    <col min="12" max="12" width="6.44140625" style="138" customWidth="1"/>
    <col min="13" max="13" width="9.5546875" style="138" customWidth="1"/>
    <col min="14" max="14" width="16.33203125" style="168" customWidth="1"/>
    <col min="15" max="15" width="10" style="138" customWidth="1"/>
    <col min="16" max="16" width="27.33203125" style="138" customWidth="1"/>
    <col min="17" max="17" width="13.33203125" style="138" customWidth="1"/>
    <col min="18" max="18" width="12.5546875" style="138" customWidth="1"/>
    <col min="19" max="19" width="21.5546875" style="138" customWidth="1"/>
    <col min="20" max="20" width="12.44140625" style="138" customWidth="1"/>
    <col min="21" max="21" width="54.88671875" style="138" customWidth="1"/>
    <col min="22" max="22" width="72.44140625" style="138" customWidth="1"/>
    <col min="23" max="23" width="12.88671875" style="138" customWidth="1"/>
    <col min="24" max="24" width="7.88671875" style="138" customWidth="1"/>
    <col min="25" max="25" width="12.33203125" style="138" customWidth="1"/>
    <col min="26" max="26" width="21" style="138" customWidth="1"/>
    <col min="27" max="27" width="7.33203125" style="138" customWidth="1"/>
    <col min="28" max="28" width="11.6640625" style="138" customWidth="1"/>
    <col min="29" max="29" width="6.44140625" style="138" customWidth="1"/>
    <col min="30" max="30" width="9.44140625" style="138" customWidth="1"/>
    <col min="31" max="31" width="16.33203125" style="138" customWidth="1"/>
    <col min="32" max="32" width="9.5546875" style="138" customWidth="1"/>
    <col min="33" max="33" width="14.88671875" style="138" customWidth="1"/>
    <col min="34" max="34" width="14.44140625" style="138" customWidth="1"/>
    <col min="35" max="35" width="11.33203125" style="138" customWidth="1"/>
    <col min="36" max="36" width="25.33203125" style="138" customWidth="1"/>
    <col min="37" max="37" width="10.6640625" style="138" customWidth="1"/>
    <col min="38" max="38" width="55.6640625" style="138" customWidth="1"/>
    <col min="39" max="39" width="71.6640625" style="138" customWidth="1"/>
    <col min="40" max="40" width="11.44140625" style="138" customWidth="1"/>
    <col min="41" max="41" width="9.44140625" style="138" customWidth="1"/>
    <col min="42" max="42" width="11.77734375" style="138" customWidth="1"/>
    <col min="43" max="43" width="9" style="138" customWidth="1"/>
    <col min="44" max="44" width="7.33203125" style="138" customWidth="1"/>
    <col min="45" max="45" width="9" style="138" customWidth="1"/>
    <col min="46" max="46" width="21.6640625" style="138" bestFit="1" customWidth="1"/>
    <col min="47" max="47" width="50.88671875" style="138" customWidth="1"/>
    <col min="48" max="48" width="20.5546875" style="138" bestFit="1" customWidth="1"/>
    <col min="49" max="49" width="15.88671875" style="138" customWidth="1"/>
    <col min="50" max="50" width="12.33203125" style="138" customWidth="1"/>
    <col min="51" max="51" width="9.33203125" style="138" customWidth="1"/>
    <col min="52" max="52" width="8.6640625" style="138" customWidth="1"/>
    <col min="53" max="53" width="8.44140625" style="138" customWidth="1"/>
    <col min="54" max="54" width="32.21875" style="138" customWidth="1"/>
    <col min="55" max="55" width="12.88671875" style="138" customWidth="1"/>
    <col min="56" max="56" width="9.88671875" style="138" customWidth="1"/>
    <col min="57" max="57" width="8.33203125" style="168" customWidth="1"/>
    <col min="58" max="58" width="11.109375" style="138" customWidth="1"/>
    <col min="59" max="59" width="25.5546875" style="138" customWidth="1"/>
    <col min="60" max="60" width="15" style="138" customWidth="1"/>
    <col min="61" max="61" width="11.5546875" style="138" customWidth="1"/>
    <col min="62" max="62" width="67.21875" style="138" customWidth="1"/>
    <col min="63" max="63" width="12" style="138" customWidth="1"/>
    <col min="64" max="64" width="9.5546875" style="138" customWidth="1"/>
    <col min="65" max="65" width="8.33203125" style="138" customWidth="1"/>
    <col min="66" max="66" width="7.44140625" style="138" customWidth="1"/>
    <col min="67" max="68" width="15.33203125" style="138" customWidth="1"/>
    <col min="69" max="69" width="13.33203125" style="138" customWidth="1"/>
    <col min="70" max="70" width="20" style="138" customWidth="1"/>
    <col min="71" max="71" width="12" style="138" customWidth="1"/>
    <col min="72" max="72" width="10.44140625" style="138" customWidth="1"/>
    <col min="73" max="73" width="8.44140625" style="138" customWidth="1"/>
    <col min="74" max="74" width="9.44140625" style="138" customWidth="1"/>
    <col min="75" max="76" width="10.44140625" style="138" customWidth="1"/>
    <col min="77" max="77" width="18.109375" style="138" customWidth="1"/>
    <col min="78" max="78" width="15.5546875" style="138" customWidth="1"/>
    <col min="79" max="79" width="12" style="138" customWidth="1"/>
    <col min="80" max="80" width="9.33203125" style="138" customWidth="1"/>
    <col min="81" max="81" width="8.88671875" style="138" customWidth="1"/>
    <col min="82" max="82" width="7.88671875" style="138" customWidth="1"/>
    <col min="83" max="84" width="8" style="138" customWidth="1"/>
    <col min="85" max="86" width="16" style="138" customWidth="1"/>
    <col min="87" max="87" width="10.44140625" style="138" customWidth="1"/>
    <col min="88" max="88" width="10.109375" style="138" customWidth="1"/>
    <col min="89" max="89" width="11.109375" style="138" customWidth="1"/>
    <col min="90" max="90" width="10.44140625" style="138" customWidth="1"/>
    <col min="91" max="91" width="13.109375" style="138" customWidth="1"/>
    <col min="92" max="92" width="13.44140625" style="138" customWidth="1"/>
    <col min="93" max="93" width="21.44140625" style="138" customWidth="1"/>
    <col min="94" max="94" width="47" style="138" customWidth="1"/>
    <col min="95" max="95" width="65.77734375" style="138" customWidth="1"/>
    <col min="96" max="96" width="11.44140625" style="138" customWidth="1"/>
    <col min="97" max="97" width="11" style="138" customWidth="1"/>
    <col min="98" max="98" width="15.44140625" style="138" customWidth="1"/>
    <col min="99" max="99" width="8.6640625" style="138" customWidth="1"/>
    <col min="100" max="100" width="80.21875" style="138" customWidth="1"/>
    <col min="101" max="101" width="17" style="138" customWidth="1"/>
    <col min="102" max="102" width="10.33203125" style="138" customWidth="1"/>
    <col min="103" max="103" width="12.88671875" style="138" customWidth="1"/>
    <col min="104" max="104" width="17.33203125" style="138" customWidth="1"/>
    <col min="105" max="105" width="7.88671875" style="138" customWidth="1"/>
    <col min="106" max="106" width="8.33203125" style="138" customWidth="1"/>
    <col min="107" max="107" width="9.109375" style="138" bestFit="1" customWidth="1"/>
    <col min="108" max="108" width="27.109375" style="138" customWidth="1"/>
    <col min="109" max="109" width="14.88671875" style="138" customWidth="1"/>
    <col min="110" max="110" width="18.5546875" style="138" customWidth="1"/>
    <col min="111" max="111" width="21.109375" style="138" customWidth="1"/>
    <col min="112" max="112" width="12.88671875" style="138" customWidth="1"/>
    <col min="113" max="113" width="11.44140625" style="138" customWidth="1"/>
    <col min="114" max="114" width="27.109375" style="138" customWidth="1"/>
    <col min="115" max="115" width="15.5546875" style="138" customWidth="1"/>
    <col min="116" max="118" width="11.109375" style="138" customWidth="1"/>
    <col min="119" max="119" width="26.88671875" style="138" customWidth="1"/>
    <col min="120" max="120" width="16.109375" style="138" customWidth="1"/>
    <col min="121" max="121" width="12.44140625" style="138" customWidth="1"/>
    <col min="122" max="122" width="16.6640625" style="138" customWidth="1"/>
    <col min="123" max="133" width="9.109375" style="138" customWidth="1"/>
    <col min="134" max="134" width="9.44140625" style="138" bestFit="1" customWidth="1"/>
    <col min="135" max="135" width="8.44140625" style="138" customWidth="1"/>
    <col min="136" max="136" width="7.33203125" style="138" customWidth="1"/>
    <col min="137" max="137" width="7.5546875" style="138" customWidth="1"/>
    <col min="138" max="138" width="10.109375" style="138" customWidth="1"/>
    <col min="139" max="139" width="19.44140625" style="138" customWidth="1"/>
    <col min="140" max="140" width="17.6640625" style="138" customWidth="1"/>
    <col min="141" max="141" width="11.44140625" style="138" customWidth="1"/>
    <col min="142" max="142" width="14.44140625" style="138" customWidth="1"/>
    <col min="143" max="144" width="18.33203125" style="138" customWidth="1"/>
    <col min="145" max="145" width="16.109375" style="138" customWidth="1"/>
    <col min="146" max="146" width="16.6640625" style="138" customWidth="1"/>
    <col min="147" max="147" width="9" style="138" customWidth="1"/>
    <col min="148" max="148" width="8.109375" style="138" customWidth="1"/>
    <col min="149" max="149" width="5.6640625" style="138" bestFit="1" customWidth="1"/>
    <col min="150" max="150" width="9.6640625" style="138" customWidth="1"/>
    <col min="151" max="151" width="16.5546875" style="138" customWidth="1"/>
    <col min="152" max="152" width="11.44140625" style="138" customWidth="1"/>
    <col min="153" max="153" width="10.109375" style="138" customWidth="1"/>
    <col min="154" max="154" width="15" style="138" customWidth="1"/>
    <col min="155" max="155" width="12.6640625" style="138" customWidth="1"/>
    <col min="156" max="169" width="9.109375" style="138" customWidth="1"/>
    <col min="170" max="172" width="8" style="138" customWidth="1"/>
    <col min="173" max="173" width="8.6640625" style="138" customWidth="1"/>
    <col min="174" max="176" width="9" style="138" bestFit="1" customWidth="1"/>
    <col min="177" max="177" width="7.88671875" style="138" bestFit="1" customWidth="1"/>
    <col min="178" max="178" width="9" style="138" bestFit="1" customWidth="1"/>
    <col min="179" max="183" width="10.44140625" style="138" customWidth="1"/>
    <col min="184" max="184" width="17.109375" style="138" customWidth="1"/>
    <col min="185" max="185" width="15.44140625" style="138" customWidth="1"/>
    <col min="186" max="186" width="11.44140625" style="138" customWidth="1"/>
    <col min="187" max="187" width="22" style="138" customWidth="1"/>
    <col min="188" max="16384" width="9.109375" style="138"/>
  </cols>
  <sheetData>
    <row r="1" spans="1:187" ht="42" customHeight="1">
      <c r="A1" s="136" t="s">
        <v>0</v>
      </c>
      <c r="B1" s="136" t="s">
        <v>1</v>
      </c>
      <c r="C1" s="136"/>
      <c r="D1" s="136"/>
      <c r="E1" s="136" t="s">
        <v>534</v>
      </c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 t="s">
        <v>2</v>
      </c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 t="s">
        <v>3</v>
      </c>
      <c r="AR1" s="136"/>
      <c r="AS1" s="136"/>
      <c r="AT1" s="136"/>
      <c r="AU1" s="136"/>
      <c r="AV1" s="136"/>
      <c r="AW1" s="136"/>
      <c r="AX1" s="136"/>
      <c r="AY1" s="136"/>
      <c r="AZ1" s="136"/>
      <c r="BA1" s="136"/>
      <c r="BB1" s="136"/>
      <c r="BC1" s="136"/>
      <c r="BD1" s="136"/>
      <c r="BE1" s="136"/>
      <c r="BF1" s="136"/>
      <c r="BG1" s="136"/>
      <c r="BH1" s="136"/>
      <c r="BI1" s="136"/>
      <c r="BJ1" s="136"/>
      <c r="BK1" s="136"/>
      <c r="BL1" s="136"/>
      <c r="BM1" s="136"/>
      <c r="BN1" s="136"/>
      <c r="BO1" s="136"/>
      <c r="BP1" s="136"/>
      <c r="BQ1" s="136"/>
      <c r="BR1" s="136"/>
      <c r="BS1" s="136"/>
      <c r="BT1" s="136"/>
      <c r="BU1" s="136"/>
      <c r="BV1" s="136"/>
      <c r="BW1" s="136"/>
      <c r="BX1" s="136"/>
      <c r="BY1" s="136"/>
      <c r="BZ1" s="136"/>
      <c r="CA1" s="136"/>
      <c r="CB1" s="136"/>
      <c r="CC1" s="136"/>
      <c r="CD1" s="136"/>
      <c r="CE1" s="136"/>
      <c r="CF1" s="136"/>
      <c r="CG1" s="136"/>
      <c r="CH1" s="136"/>
      <c r="CI1" s="136"/>
      <c r="CJ1" s="136"/>
      <c r="CK1" s="136"/>
      <c r="CL1" s="136"/>
      <c r="CM1" s="136"/>
      <c r="CN1" s="136"/>
      <c r="CO1" s="136"/>
      <c r="CP1" s="136"/>
      <c r="CQ1" s="136"/>
      <c r="CR1" s="136"/>
      <c r="CS1" s="136"/>
      <c r="CT1" s="136"/>
      <c r="CU1" s="136"/>
      <c r="CV1" s="136" t="s">
        <v>4</v>
      </c>
      <c r="CW1" s="136"/>
      <c r="CX1" s="136"/>
      <c r="CY1" s="136"/>
      <c r="CZ1" s="136"/>
      <c r="DA1" s="136"/>
      <c r="DB1" s="136"/>
      <c r="DC1" s="136"/>
      <c r="DD1" s="136"/>
      <c r="DE1" s="136"/>
      <c r="DF1" s="136"/>
      <c r="DG1" s="136"/>
      <c r="DH1" s="136"/>
      <c r="DI1" s="136"/>
      <c r="DJ1" s="136"/>
      <c r="DK1" s="136"/>
      <c r="DL1" s="136"/>
      <c r="DM1" s="136"/>
      <c r="DN1" s="136"/>
      <c r="DO1" s="136"/>
      <c r="DP1" s="136"/>
      <c r="DQ1" s="136"/>
      <c r="DR1" s="136"/>
      <c r="DS1" s="136"/>
      <c r="DT1" s="136"/>
      <c r="DU1" s="136"/>
      <c r="DV1" s="136"/>
      <c r="DW1" s="136"/>
      <c r="DX1" s="136"/>
      <c r="DY1" s="136"/>
      <c r="DZ1" s="136"/>
      <c r="EA1" s="136"/>
      <c r="EB1" s="136"/>
      <c r="EC1" s="136"/>
      <c r="ED1" s="136"/>
      <c r="EE1" s="136" t="s">
        <v>535</v>
      </c>
      <c r="EF1" s="136"/>
      <c r="EG1" s="136"/>
      <c r="EH1" s="136"/>
      <c r="EI1" s="136"/>
      <c r="EJ1" s="136"/>
      <c r="EK1" s="136"/>
      <c r="EL1" s="136"/>
      <c r="EM1" s="136"/>
      <c r="EN1" s="136"/>
      <c r="EO1" s="136"/>
      <c r="EP1" s="136"/>
      <c r="EQ1" s="136"/>
      <c r="ER1" s="136"/>
      <c r="ES1" s="136"/>
      <c r="ET1" s="136"/>
      <c r="EU1" s="136"/>
      <c r="EV1" s="136"/>
      <c r="EW1" s="136"/>
      <c r="EX1" s="136"/>
      <c r="EY1" s="136"/>
      <c r="EZ1" s="136"/>
      <c r="FA1" s="136"/>
      <c r="FB1" s="136"/>
      <c r="FC1" s="136"/>
      <c r="FD1" s="136"/>
      <c r="FE1" s="136"/>
      <c r="FF1" s="136"/>
      <c r="FG1" s="136"/>
      <c r="FH1" s="136"/>
      <c r="FI1" s="136"/>
      <c r="FJ1" s="136"/>
      <c r="FK1" s="136"/>
      <c r="FL1" s="136"/>
      <c r="FM1" s="136"/>
      <c r="FN1" s="136" t="s">
        <v>536</v>
      </c>
      <c r="FO1" s="136"/>
      <c r="FP1" s="136"/>
      <c r="FQ1" s="136"/>
      <c r="FR1" s="136"/>
      <c r="FS1" s="136"/>
      <c r="FT1" s="136"/>
      <c r="FU1" s="136"/>
      <c r="FV1" s="136"/>
      <c r="FW1" s="136"/>
      <c r="FX1" s="136" t="s">
        <v>520</v>
      </c>
      <c r="FY1" s="136"/>
      <c r="FZ1" s="136"/>
      <c r="GA1" s="136"/>
      <c r="GB1" s="136"/>
      <c r="GC1" s="137" t="s">
        <v>521</v>
      </c>
      <c r="GD1" s="137"/>
      <c r="GE1" s="137"/>
    </row>
    <row r="2" spans="1:187" ht="15" customHeight="1">
      <c r="A2" s="136"/>
      <c r="B2" s="136" t="s">
        <v>7</v>
      </c>
      <c r="C2" s="136" t="s">
        <v>8</v>
      </c>
      <c r="D2" s="136" t="s">
        <v>9</v>
      </c>
      <c r="E2" s="136" t="s">
        <v>6</v>
      </c>
      <c r="F2" s="136" t="s">
        <v>10</v>
      </c>
      <c r="G2" s="136" t="s">
        <v>11</v>
      </c>
      <c r="H2" s="139" t="s">
        <v>649</v>
      </c>
      <c r="I2" s="136" t="s">
        <v>537</v>
      </c>
      <c r="J2" s="136" t="s">
        <v>12</v>
      </c>
      <c r="K2" s="136" t="s">
        <v>647</v>
      </c>
      <c r="L2" s="139" t="s">
        <v>13</v>
      </c>
      <c r="M2" s="139" t="s">
        <v>14</v>
      </c>
      <c r="N2" s="139" t="s">
        <v>15</v>
      </c>
      <c r="O2" s="139" t="s">
        <v>16</v>
      </c>
      <c r="P2" s="139" t="s">
        <v>17</v>
      </c>
      <c r="Q2" s="140" t="s">
        <v>196</v>
      </c>
      <c r="R2" s="141"/>
      <c r="S2" s="141"/>
      <c r="T2" s="141"/>
      <c r="U2" s="141"/>
      <c r="V2" s="142"/>
      <c r="W2" s="136" t="s">
        <v>170</v>
      </c>
      <c r="X2" s="136" t="s">
        <v>169</v>
      </c>
      <c r="Y2" s="136" t="s">
        <v>168</v>
      </c>
      <c r="Z2" s="136" t="s">
        <v>18</v>
      </c>
      <c r="AA2" s="136" t="s">
        <v>12</v>
      </c>
      <c r="AB2" s="136" t="s">
        <v>647</v>
      </c>
      <c r="AC2" s="136" t="s">
        <v>13</v>
      </c>
      <c r="AD2" s="136" t="s">
        <v>14</v>
      </c>
      <c r="AE2" s="136" t="s">
        <v>19</v>
      </c>
      <c r="AF2" s="136" t="s">
        <v>16</v>
      </c>
      <c r="AG2" s="136" t="s">
        <v>17</v>
      </c>
      <c r="AH2" s="136" t="s">
        <v>182</v>
      </c>
      <c r="AI2" s="136"/>
      <c r="AJ2" s="136"/>
      <c r="AK2" s="136"/>
      <c r="AL2" s="136"/>
      <c r="AM2" s="136"/>
      <c r="AN2" s="136" t="s">
        <v>170</v>
      </c>
      <c r="AO2" s="136" t="s">
        <v>169</v>
      </c>
      <c r="AP2" s="136" t="s">
        <v>168</v>
      </c>
      <c r="AQ2" s="136" t="s">
        <v>20</v>
      </c>
      <c r="AR2" s="136" t="s">
        <v>21</v>
      </c>
      <c r="AS2" s="136" t="s">
        <v>538</v>
      </c>
      <c r="AT2" s="136" t="s">
        <v>22</v>
      </c>
      <c r="AU2" s="136" t="s">
        <v>539</v>
      </c>
      <c r="AV2" s="136" t="s">
        <v>540</v>
      </c>
      <c r="AW2" s="136" t="s">
        <v>541</v>
      </c>
      <c r="AX2" s="136" t="s">
        <v>163</v>
      </c>
      <c r="AY2" s="136" t="s">
        <v>542</v>
      </c>
      <c r="AZ2" s="136" t="s">
        <v>543</v>
      </c>
      <c r="BA2" s="136" t="s">
        <v>544</v>
      </c>
      <c r="BB2" s="143"/>
      <c r="BC2" s="136" t="s">
        <v>545</v>
      </c>
      <c r="BD2" s="136"/>
      <c r="BE2" s="136"/>
      <c r="BF2" s="136"/>
      <c r="BG2" s="136"/>
      <c r="BH2" s="136"/>
      <c r="BI2" s="136"/>
      <c r="BJ2" s="136"/>
      <c r="BK2" s="136" t="s">
        <v>546</v>
      </c>
      <c r="BL2" s="136"/>
      <c r="BM2" s="136"/>
      <c r="BN2" s="136"/>
      <c r="BO2" s="136"/>
      <c r="BP2" s="136"/>
      <c r="BQ2" s="136"/>
      <c r="BR2" s="136"/>
      <c r="BS2" s="136" t="s">
        <v>547</v>
      </c>
      <c r="BT2" s="136"/>
      <c r="BU2" s="136"/>
      <c r="BV2" s="136"/>
      <c r="BW2" s="136"/>
      <c r="BX2" s="136"/>
      <c r="BY2" s="136"/>
      <c r="BZ2" s="136"/>
      <c r="CA2" s="136" t="s">
        <v>548</v>
      </c>
      <c r="CB2" s="136"/>
      <c r="CC2" s="136"/>
      <c r="CD2" s="136"/>
      <c r="CE2" s="136"/>
      <c r="CF2" s="136"/>
      <c r="CG2" s="136"/>
      <c r="CH2" s="136"/>
      <c r="CI2" s="136" t="s">
        <v>549</v>
      </c>
      <c r="CJ2" s="136"/>
      <c r="CK2" s="136"/>
      <c r="CL2" s="136"/>
      <c r="CM2" s="136" t="s">
        <v>550</v>
      </c>
      <c r="CN2" s="136"/>
      <c r="CO2" s="136"/>
      <c r="CP2" s="136"/>
      <c r="CQ2" s="136"/>
      <c r="CR2" s="136" t="s">
        <v>5</v>
      </c>
      <c r="CS2" s="136" t="s">
        <v>551</v>
      </c>
      <c r="CT2" s="136" t="s">
        <v>552</v>
      </c>
      <c r="CU2" s="136" t="s">
        <v>178</v>
      </c>
      <c r="CV2" s="136" t="s">
        <v>160</v>
      </c>
      <c r="CW2" s="136" t="s">
        <v>24</v>
      </c>
      <c r="CX2" s="136" t="s">
        <v>179</v>
      </c>
      <c r="CY2" s="136" t="s">
        <v>171</v>
      </c>
      <c r="CZ2" s="136" t="s">
        <v>25</v>
      </c>
      <c r="DA2" s="136" t="s">
        <v>180</v>
      </c>
      <c r="DB2" s="136" t="s">
        <v>173</v>
      </c>
      <c r="DC2" s="136" t="s">
        <v>16</v>
      </c>
      <c r="DD2" s="136" t="s">
        <v>27</v>
      </c>
      <c r="DE2" s="136" t="s">
        <v>172</v>
      </c>
      <c r="DF2" s="136" t="s">
        <v>28</v>
      </c>
      <c r="DG2" s="136" t="s">
        <v>29</v>
      </c>
      <c r="DH2" s="136" t="s">
        <v>553</v>
      </c>
      <c r="DI2" s="136"/>
      <c r="DJ2" s="136"/>
      <c r="DK2" s="136"/>
      <c r="DL2" s="136"/>
      <c r="DM2" s="136"/>
      <c r="DN2" s="136"/>
      <c r="DO2" s="140" t="s">
        <v>554</v>
      </c>
      <c r="DP2" s="141"/>
      <c r="DQ2" s="141"/>
      <c r="DR2" s="141"/>
      <c r="DS2" s="141"/>
      <c r="DT2" s="142"/>
      <c r="DU2" s="140" t="s">
        <v>652</v>
      </c>
      <c r="DV2" s="141"/>
      <c r="DW2" s="141"/>
      <c r="DX2" s="141"/>
      <c r="DY2" s="142"/>
      <c r="DZ2" s="140" t="s">
        <v>655</v>
      </c>
      <c r="EA2" s="141"/>
      <c r="EB2" s="141"/>
      <c r="EC2" s="141"/>
      <c r="ED2" s="142"/>
      <c r="EE2" s="136" t="s">
        <v>555</v>
      </c>
      <c r="EF2" s="136"/>
      <c r="EG2" s="136"/>
      <c r="EH2" s="136"/>
      <c r="EI2" s="136"/>
      <c r="EJ2" s="136"/>
      <c r="EK2" s="136"/>
      <c r="EL2" s="136"/>
      <c r="EM2" s="136" t="s">
        <v>651</v>
      </c>
      <c r="EN2" s="136"/>
      <c r="EO2" s="136"/>
      <c r="EP2" s="136"/>
      <c r="EQ2" s="136"/>
      <c r="ER2" s="136"/>
      <c r="ES2" s="136"/>
      <c r="ET2" s="136"/>
      <c r="EU2" s="136"/>
      <c r="EV2" s="136"/>
      <c r="EW2" s="136"/>
      <c r="EX2" s="136"/>
      <c r="EY2" s="136"/>
      <c r="EZ2" s="136" t="s">
        <v>556</v>
      </c>
      <c r="FA2" s="136"/>
      <c r="FB2" s="136"/>
      <c r="FC2" s="136"/>
      <c r="FD2" s="136"/>
      <c r="FE2" s="136"/>
      <c r="FF2" s="136"/>
      <c r="FG2" s="136"/>
      <c r="FH2" s="136" t="s">
        <v>557</v>
      </c>
      <c r="FI2" s="136"/>
      <c r="FJ2" s="136"/>
      <c r="FK2" s="136" t="s">
        <v>558</v>
      </c>
      <c r="FL2" s="136"/>
      <c r="FM2" s="136"/>
      <c r="FN2" s="136" t="s">
        <v>559</v>
      </c>
      <c r="FO2" s="136" t="s">
        <v>20</v>
      </c>
      <c r="FP2" s="136" t="s">
        <v>31</v>
      </c>
      <c r="FQ2" s="136" t="s">
        <v>560</v>
      </c>
      <c r="FR2" s="136" t="s">
        <v>561</v>
      </c>
      <c r="FS2" s="136" t="s">
        <v>562</v>
      </c>
      <c r="FT2" s="136" t="s">
        <v>563</v>
      </c>
      <c r="FU2" s="136" t="s">
        <v>24</v>
      </c>
      <c r="FV2" s="136" t="s">
        <v>16</v>
      </c>
      <c r="FW2" s="136" t="s">
        <v>564</v>
      </c>
      <c r="FX2" s="136" t="s">
        <v>522</v>
      </c>
      <c r="FY2" s="136"/>
      <c r="FZ2" s="136"/>
      <c r="GA2" s="136"/>
      <c r="GB2" s="136" t="s">
        <v>523</v>
      </c>
      <c r="GC2" s="137" t="s">
        <v>524</v>
      </c>
      <c r="GD2" s="137" t="s">
        <v>525</v>
      </c>
      <c r="GE2" s="137" t="s">
        <v>526</v>
      </c>
    </row>
    <row r="3" spans="1:187" ht="62.4">
      <c r="A3" s="136"/>
      <c r="B3" s="136"/>
      <c r="C3" s="136"/>
      <c r="D3" s="136"/>
      <c r="E3" s="136"/>
      <c r="F3" s="136"/>
      <c r="G3" s="136"/>
      <c r="H3" s="144"/>
      <c r="I3" s="136"/>
      <c r="J3" s="136"/>
      <c r="K3" s="136"/>
      <c r="L3" s="144"/>
      <c r="M3" s="144"/>
      <c r="N3" s="144"/>
      <c r="O3" s="144"/>
      <c r="P3" s="144"/>
      <c r="Q3" s="143" t="s">
        <v>1018</v>
      </c>
      <c r="R3" s="143" t="s">
        <v>161</v>
      </c>
      <c r="S3" s="143" t="s">
        <v>162</v>
      </c>
      <c r="T3" s="143" t="s">
        <v>174</v>
      </c>
      <c r="U3" s="143" t="s">
        <v>648</v>
      </c>
      <c r="V3" s="143" t="s">
        <v>175</v>
      </c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43" t="s">
        <v>176</v>
      </c>
      <c r="AI3" s="143" t="s">
        <v>161</v>
      </c>
      <c r="AJ3" s="143" t="s">
        <v>162</v>
      </c>
      <c r="AK3" s="143" t="s">
        <v>177</v>
      </c>
      <c r="AL3" s="143" t="s">
        <v>648</v>
      </c>
      <c r="AM3" s="143" t="s">
        <v>175</v>
      </c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43" t="s">
        <v>1853</v>
      </c>
      <c r="BC3" s="143" t="s">
        <v>565</v>
      </c>
      <c r="BD3" s="143" t="s">
        <v>566</v>
      </c>
      <c r="BE3" s="143" t="s">
        <v>31</v>
      </c>
      <c r="BF3" s="143" t="s">
        <v>567</v>
      </c>
      <c r="BG3" s="143" t="s">
        <v>568</v>
      </c>
      <c r="BH3" s="143" t="s">
        <v>977</v>
      </c>
      <c r="BI3" s="143" t="s">
        <v>978</v>
      </c>
      <c r="BJ3" s="143" t="s">
        <v>979</v>
      </c>
      <c r="BK3" s="143" t="s">
        <v>565</v>
      </c>
      <c r="BL3" s="143" t="s">
        <v>566</v>
      </c>
      <c r="BM3" s="143" t="s">
        <v>31</v>
      </c>
      <c r="BN3" s="143" t="s">
        <v>567</v>
      </c>
      <c r="BO3" s="143" t="s">
        <v>568</v>
      </c>
      <c r="BP3" s="143" t="s">
        <v>977</v>
      </c>
      <c r="BQ3" s="143" t="s">
        <v>978</v>
      </c>
      <c r="BR3" s="143" t="s">
        <v>979</v>
      </c>
      <c r="BS3" s="143" t="s">
        <v>565</v>
      </c>
      <c r="BT3" s="143" t="s">
        <v>566</v>
      </c>
      <c r="BU3" s="143" t="s">
        <v>31</v>
      </c>
      <c r="BV3" s="143" t="s">
        <v>567</v>
      </c>
      <c r="BW3" s="143" t="s">
        <v>568</v>
      </c>
      <c r="BX3" s="143" t="s">
        <v>977</v>
      </c>
      <c r="BY3" s="143" t="s">
        <v>978</v>
      </c>
      <c r="BZ3" s="143" t="s">
        <v>979</v>
      </c>
      <c r="CA3" s="143" t="s">
        <v>565</v>
      </c>
      <c r="CB3" s="143" t="s">
        <v>566</v>
      </c>
      <c r="CC3" s="143" t="s">
        <v>31</v>
      </c>
      <c r="CD3" s="143" t="s">
        <v>567</v>
      </c>
      <c r="CE3" s="143" t="s">
        <v>568</v>
      </c>
      <c r="CF3" s="143" t="s">
        <v>977</v>
      </c>
      <c r="CG3" s="143" t="s">
        <v>978</v>
      </c>
      <c r="CH3" s="143" t="s">
        <v>979</v>
      </c>
      <c r="CI3" s="143" t="s">
        <v>571</v>
      </c>
      <c r="CJ3" s="143" t="s">
        <v>572</v>
      </c>
      <c r="CK3" s="143" t="s">
        <v>573</v>
      </c>
      <c r="CL3" s="143" t="s">
        <v>574</v>
      </c>
      <c r="CM3" s="143" t="s">
        <v>181</v>
      </c>
      <c r="CN3" s="143" t="s">
        <v>161</v>
      </c>
      <c r="CO3" s="143" t="s">
        <v>162</v>
      </c>
      <c r="CP3" s="143" t="s">
        <v>648</v>
      </c>
      <c r="CQ3" s="143" t="s">
        <v>175</v>
      </c>
      <c r="CR3" s="136"/>
      <c r="CS3" s="136"/>
      <c r="CT3" s="136"/>
      <c r="CU3" s="136"/>
      <c r="CV3" s="136"/>
      <c r="CW3" s="136"/>
      <c r="CX3" s="136"/>
      <c r="CY3" s="136"/>
      <c r="CZ3" s="136"/>
      <c r="DA3" s="136"/>
      <c r="DB3" s="136"/>
      <c r="DC3" s="136"/>
      <c r="DD3" s="136"/>
      <c r="DE3" s="136"/>
      <c r="DF3" s="136"/>
      <c r="DG3" s="136"/>
      <c r="DH3" s="143" t="s">
        <v>30</v>
      </c>
      <c r="DI3" s="143" t="s">
        <v>31</v>
      </c>
      <c r="DJ3" s="143" t="s">
        <v>32</v>
      </c>
      <c r="DK3" s="143" t="s">
        <v>33</v>
      </c>
      <c r="DL3" s="143" t="s">
        <v>34</v>
      </c>
      <c r="DM3" s="143" t="s">
        <v>35</v>
      </c>
      <c r="DN3" s="143" t="s">
        <v>657</v>
      </c>
      <c r="DO3" s="143" t="s">
        <v>36</v>
      </c>
      <c r="DP3" s="143" t="s">
        <v>37</v>
      </c>
      <c r="DQ3" s="143" t="s">
        <v>38</v>
      </c>
      <c r="DR3" s="143" t="s">
        <v>39</v>
      </c>
      <c r="DS3" s="143" t="s">
        <v>164</v>
      </c>
      <c r="DT3" s="143" t="s">
        <v>163</v>
      </c>
      <c r="DU3" s="143" t="s">
        <v>654</v>
      </c>
      <c r="DV3" s="143" t="s">
        <v>653</v>
      </c>
      <c r="DW3" s="143" t="s">
        <v>33</v>
      </c>
      <c r="DX3" s="143" t="s">
        <v>34</v>
      </c>
      <c r="DY3" s="143" t="s">
        <v>35</v>
      </c>
      <c r="DZ3" s="143" t="s">
        <v>654</v>
      </c>
      <c r="EA3" s="143" t="s">
        <v>653</v>
      </c>
      <c r="EB3" s="143" t="s">
        <v>656</v>
      </c>
      <c r="EC3" s="143" t="s">
        <v>34</v>
      </c>
      <c r="ED3" s="143" t="s">
        <v>35</v>
      </c>
      <c r="EE3" s="143" t="s">
        <v>575</v>
      </c>
      <c r="EF3" s="143" t="s">
        <v>576</v>
      </c>
      <c r="EG3" s="143" t="s">
        <v>40</v>
      </c>
      <c r="EH3" s="143" t="s">
        <v>41</v>
      </c>
      <c r="EI3" s="143" t="s">
        <v>42</v>
      </c>
      <c r="EJ3" s="143" t="s">
        <v>43</v>
      </c>
      <c r="EK3" s="143" t="s">
        <v>550</v>
      </c>
      <c r="EL3" s="143" t="s">
        <v>44</v>
      </c>
      <c r="EM3" s="143" t="s">
        <v>577</v>
      </c>
      <c r="EN3" s="143" t="s">
        <v>550</v>
      </c>
      <c r="EO3" s="143" t="s">
        <v>578</v>
      </c>
      <c r="EP3" s="143" t="s">
        <v>650</v>
      </c>
      <c r="EQ3" s="143" t="s">
        <v>575</v>
      </c>
      <c r="ER3" s="143" t="s">
        <v>576</v>
      </c>
      <c r="ES3" s="143" t="s">
        <v>40</v>
      </c>
      <c r="ET3" s="143" t="s">
        <v>41</v>
      </c>
      <c r="EU3" s="143" t="s">
        <v>42</v>
      </c>
      <c r="EV3" s="143" t="s">
        <v>45</v>
      </c>
      <c r="EW3" s="143" t="s">
        <v>23</v>
      </c>
      <c r="EX3" s="143" t="s">
        <v>44</v>
      </c>
      <c r="EY3" s="143" t="s">
        <v>43</v>
      </c>
      <c r="EZ3" s="143" t="s">
        <v>577</v>
      </c>
      <c r="FA3" s="143" t="s">
        <v>579</v>
      </c>
      <c r="FB3" s="143" t="s">
        <v>580</v>
      </c>
      <c r="FC3" s="143" t="s">
        <v>581</v>
      </c>
      <c r="FD3" s="143" t="s">
        <v>582</v>
      </c>
      <c r="FE3" s="143" t="s">
        <v>45</v>
      </c>
      <c r="FF3" s="143" t="s">
        <v>23</v>
      </c>
      <c r="FG3" s="143" t="s">
        <v>44</v>
      </c>
      <c r="FH3" s="143" t="s">
        <v>583</v>
      </c>
      <c r="FI3" s="143" t="s">
        <v>584</v>
      </c>
      <c r="FJ3" s="143" t="s">
        <v>31</v>
      </c>
      <c r="FK3" s="143" t="s">
        <v>585</v>
      </c>
      <c r="FL3" s="143" t="s">
        <v>586</v>
      </c>
      <c r="FM3" s="143" t="s">
        <v>31</v>
      </c>
      <c r="FN3" s="136"/>
      <c r="FO3" s="136"/>
      <c r="FP3" s="136"/>
      <c r="FQ3" s="136"/>
      <c r="FR3" s="136"/>
      <c r="FS3" s="136"/>
      <c r="FT3" s="136"/>
      <c r="FU3" s="136"/>
      <c r="FV3" s="136"/>
      <c r="FW3" s="136"/>
      <c r="FX3" s="145" t="s">
        <v>527</v>
      </c>
      <c r="FY3" s="145" t="s">
        <v>519</v>
      </c>
      <c r="FZ3" s="145" t="s">
        <v>528</v>
      </c>
      <c r="GA3" s="145" t="s">
        <v>518</v>
      </c>
      <c r="GB3" s="136"/>
      <c r="GC3" s="137"/>
      <c r="GD3" s="137"/>
      <c r="GE3" s="137"/>
    </row>
    <row r="4" spans="1:187">
      <c r="A4" s="146" t="s">
        <v>46</v>
      </c>
      <c r="B4" s="146" t="s">
        <v>47</v>
      </c>
      <c r="C4" s="146" t="s">
        <v>48</v>
      </c>
      <c r="D4" s="146" t="s">
        <v>49</v>
      </c>
      <c r="E4" s="146" t="s">
        <v>50</v>
      </c>
      <c r="F4" s="146" t="s">
        <v>51</v>
      </c>
      <c r="G4" s="146" t="s">
        <v>52</v>
      </c>
      <c r="H4" s="146" t="s">
        <v>53</v>
      </c>
      <c r="I4" s="146" t="s">
        <v>54</v>
      </c>
      <c r="J4" s="146" t="s">
        <v>55</v>
      </c>
      <c r="K4" s="146" t="s">
        <v>56</v>
      </c>
      <c r="L4" s="146" t="s">
        <v>57</v>
      </c>
      <c r="M4" s="146" t="s">
        <v>58</v>
      </c>
      <c r="N4" s="146" t="s">
        <v>59</v>
      </c>
      <c r="O4" s="146" t="s">
        <v>60</v>
      </c>
      <c r="P4" s="146" t="s">
        <v>61</v>
      </c>
      <c r="Q4" s="146" t="s">
        <v>62</v>
      </c>
      <c r="R4" s="146" t="s">
        <v>63</v>
      </c>
      <c r="S4" s="146" t="s">
        <v>64</v>
      </c>
      <c r="T4" s="146" t="s">
        <v>65</v>
      </c>
      <c r="U4" s="146" t="s">
        <v>66</v>
      </c>
      <c r="V4" s="146" t="s">
        <v>67</v>
      </c>
      <c r="W4" s="146" t="s">
        <v>68</v>
      </c>
      <c r="X4" s="146" t="s">
        <v>69</v>
      </c>
      <c r="Y4" s="146" t="s">
        <v>70</v>
      </c>
      <c r="Z4" s="146" t="s">
        <v>71</v>
      </c>
      <c r="AA4" s="146" t="s">
        <v>72</v>
      </c>
      <c r="AB4" s="146" t="s">
        <v>73</v>
      </c>
      <c r="AC4" s="146" t="s">
        <v>74</v>
      </c>
      <c r="AD4" s="146" t="s">
        <v>75</v>
      </c>
      <c r="AE4" s="146" t="s">
        <v>76</v>
      </c>
      <c r="AF4" s="146" t="s">
        <v>77</v>
      </c>
      <c r="AG4" s="146" t="s">
        <v>78</v>
      </c>
      <c r="AH4" s="146" t="s">
        <v>79</v>
      </c>
      <c r="AI4" s="146" t="s">
        <v>80</v>
      </c>
      <c r="AJ4" s="146" t="s">
        <v>81</v>
      </c>
      <c r="AK4" s="146" t="s">
        <v>82</v>
      </c>
      <c r="AL4" s="146" t="s">
        <v>83</v>
      </c>
      <c r="AM4" s="146" t="s">
        <v>84</v>
      </c>
      <c r="AN4" s="146" t="s">
        <v>85</v>
      </c>
      <c r="AO4" s="146" t="s">
        <v>86</v>
      </c>
      <c r="AP4" s="146" t="s">
        <v>87</v>
      </c>
      <c r="AQ4" s="146" t="s">
        <v>88</v>
      </c>
      <c r="AR4" s="146" t="s">
        <v>89</v>
      </c>
      <c r="AS4" s="146" t="s">
        <v>90</v>
      </c>
      <c r="AT4" s="146" t="s">
        <v>91</v>
      </c>
      <c r="AU4" s="146" t="s">
        <v>92</v>
      </c>
      <c r="AV4" s="146" t="s">
        <v>93</v>
      </c>
      <c r="AW4" s="146" t="s">
        <v>94</v>
      </c>
      <c r="AX4" s="146" t="s">
        <v>95</v>
      </c>
      <c r="AY4" s="146" t="s">
        <v>96</v>
      </c>
      <c r="AZ4" s="146" t="s">
        <v>97</v>
      </c>
      <c r="BA4" s="146" t="s">
        <v>98</v>
      </c>
      <c r="BB4" s="146"/>
      <c r="BC4" s="146" t="s">
        <v>99</v>
      </c>
      <c r="BD4" s="146" t="s">
        <v>100</v>
      </c>
      <c r="BE4" s="146" t="s">
        <v>101</v>
      </c>
      <c r="BF4" s="146" t="s">
        <v>102</v>
      </c>
      <c r="BG4" s="146" t="s">
        <v>103</v>
      </c>
      <c r="BH4" s="146" t="s">
        <v>104</v>
      </c>
      <c r="BI4" s="146" t="s">
        <v>105</v>
      </c>
      <c r="BJ4" s="146" t="s">
        <v>106</v>
      </c>
      <c r="BK4" s="146" t="s">
        <v>107</v>
      </c>
      <c r="BL4" s="146" t="s">
        <v>108</v>
      </c>
      <c r="BM4" s="146" t="s">
        <v>109</v>
      </c>
      <c r="BN4" s="146" t="s">
        <v>110</v>
      </c>
      <c r="BO4" s="146" t="s">
        <v>111</v>
      </c>
      <c r="BP4" s="146" t="s">
        <v>112</v>
      </c>
      <c r="BQ4" s="146" t="s">
        <v>113</v>
      </c>
      <c r="BR4" s="146" t="s">
        <v>114</v>
      </c>
      <c r="BS4" s="146" t="s">
        <v>115</v>
      </c>
      <c r="BT4" s="146" t="s">
        <v>116</v>
      </c>
      <c r="BU4" s="146" t="s">
        <v>117</v>
      </c>
      <c r="BV4" s="146" t="s">
        <v>118</v>
      </c>
      <c r="BW4" s="146" t="s">
        <v>119</v>
      </c>
      <c r="BX4" s="146" t="s">
        <v>120</v>
      </c>
      <c r="BY4" s="146" t="s">
        <v>121</v>
      </c>
      <c r="BZ4" s="146" t="s">
        <v>122</v>
      </c>
      <c r="CA4" s="146" t="s">
        <v>123</v>
      </c>
      <c r="CB4" s="146" t="s">
        <v>124</v>
      </c>
      <c r="CC4" s="146" t="s">
        <v>125</v>
      </c>
      <c r="CD4" s="146" t="s">
        <v>126</v>
      </c>
      <c r="CE4" s="146" t="s">
        <v>127</v>
      </c>
      <c r="CF4" s="146" t="s">
        <v>128</v>
      </c>
      <c r="CG4" s="146" t="s">
        <v>129</v>
      </c>
      <c r="CH4" s="146" t="s">
        <v>130</v>
      </c>
      <c r="CI4" s="146" t="s">
        <v>131</v>
      </c>
      <c r="CJ4" s="146" t="s">
        <v>132</v>
      </c>
      <c r="CK4" s="146" t="s">
        <v>133</v>
      </c>
      <c r="CL4" s="146" t="s">
        <v>134</v>
      </c>
      <c r="CM4" s="146" t="s">
        <v>135</v>
      </c>
      <c r="CN4" s="146" t="s">
        <v>136</v>
      </c>
      <c r="CO4" s="146" t="s">
        <v>137</v>
      </c>
      <c r="CP4" s="146" t="s">
        <v>138</v>
      </c>
      <c r="CQ4" s="146" t="s">
        <v>139</v>
      </c>
      <c r="CR4" s="146" t="s">
        <v>140</v>
      </c>
      <c r="CS4" s="146" t="s">
        <v>141</v>
      </c>
      <c r="CT4" s="146" t="s">
        <v>142</v>
      </c>
      <c r="CU4" s="146" t="s">
        <v>143</v>
      </c>
      <c r="CV4" s="146" t="s">
        <v>144</v>
      </c>
      <c r="CW4" s="146" t="s">
        <v>145</v>
      </c>
      <c r="CX4" s="146" t="s">
        <v>146</v>
      </c>
      <c r="CY4" s="146" t="s">
        <v>158</v>
      </c>
      <c r="CZ4" s="146" t="s">
        <v>159</v>
      </c>
      <c r="DA4" s="146" t="s">
        <v>148</v>
      </c>
      <c r="DB4" s="146" t="s">
        <v>147</v>
      </c>
      <c r="DC4" s="146" t="s">
        <v>149</v>
      </c>
      <c r="DD4" s="146" t="s">
        <v>153</v>
      </c>
      <c r="DE4" s="146" t="s">
        <v>154</v>
      </c>
      <c r="DF4" s="146" t="s">
        <v>155</v>
      </c>
      <c r="DG4" s="146" t="s">
        <v>156</v>
      </c>
      <c r="DH4" s="146" t="s">
        <v>152</v>
      </c>
      <c r="DI4" s="146" t="s">
        <v>157</v>
      </c>
      <c r="DJ4" s="146" t="s">
        <v>151</v>
      </c>
      <c r="DK4" s="146" t="s">
        <v>150</v>
      </c>
      <c r="DL4" s="146" t="s">
        <v>587</v>
      </c>
      <c r="DM4" s="146" t="s">
        <v>588</v>
      </c>
      <c r="DN4" s="146" t="s">
        <v>589</v>
      </c>
      <c r="DO4" s="146" t="s">
        <v>590</v>
      </c>
      <c r="DP4" s="146" t="s">
        <v>591</v>
      </c>
      <c r="DQ4" s="146" t="s">
        <v>592</v>
      </c>
      <c r="DR4" s="146" t="s">
        <v>593</v>
      </c>
      <c r="DS4" s="146" t="s">
        <v>594</v>
      </c>
      <c r="DT4" s="146" t="s">
        <v>595</v>
      </c>
      <c r="DU4" s="146" t="s">
        <v>596</v>
      </c>
      <c r="DV4" s="146" t="s">
        <v>597</v>
      </c>
      <c r="DW4" s="146" t="s">
        <v>598</v>
      </c>
      <c r="DX4" s="146" t="s">
        <v>599</v>
      </c>
      <c r="DY4" s="146" t="s">
        <v>600</v>
      </c>
      <c r="DZ4" s="146" t="s">
        <v>601</v>
      </c>
      <c r="EA4" s="146" t="s">
        <v>602</v>
      </c>
      <c r="EB4" s="146" t="s">
        <v>603</v>
      </c>
      <c r="EC4" s="146" t="s">
        <v>604</v>
      </c>
      <c r="ED4" s="146" t="s">
        <v>605</v>
      </c>
      <c r="EE4" s="146" t="s">
        <v>606</v>
      </c>
      <c r="EF4" s="146" t="s">
        <v>607</v>
      </c>
      <c r="EG4" s="146" t="s">
        <v>608</v>
      </c>
      <c r="EH4" s="146" t="s">
        <v>609</v>
      </c>
      <c r="EI4" s="146" t="s">
        <v>610</v>
      </c>
      <c r="EJ4" s="146" t="s">
        <v>611</v>
      </c>
      <c r="EK4" s="146" t="s">
        <v>612</v>
      </c>
      <c r="EL4" s="146" t="s">
        <v>613</v>
      </c>
      <c r="EM4" s="146" t="s">
        <v>614</v>
      </c>
      <c r="EN4" s="146" t="s">
        <v>615</v>
      </c>
      <c r="EO4" s="146" t="s">
        <v>616</v>
      </c>
      <c r="EP4" s="146" t="s">
        <v>617</v>
      </c>
      <c r="EQ4" s="146" t="s">
        <v>618</v>
      </c>
      <c r="ER4" s="146" t="s">
        <v>619</v>
      </c>
      <c r="ES4" s="146" t="s">
        <v>620</v>
      </c>
      <c r="ET4" s="146" t="s">
        <v>621</v>
      </c>
      <c r="EU4" s="146" t="s">
        <v>622</v>
      </c>
      <c r="EV4" s="146" t="s">
        <v>623</v>
      </c>
      <c r="EW4" s="146" t="s">
        <v>624</v>
      </c>
      <c r="EX4" s="146" t="s">
        <v>625</v>
      </c>
      <c r="EY4" s="146" t="s">
        <v>626</v>
      </c>
      <c r="EZ4" s="146" t="s">
        <v>627</v>
      </c>
      <c r="FA4" s="146" t="s">
        <v>628</v>
      </c>
      <c r="FB4" s="146" t="s">
        <v>629</v>
      </c>
      <c r="FC4" s="146" t="s">
        <v>630</v>
      </c>
      <c r="FD4" s="146" t="s">
        <v>631</v>
      </c>
      <c r="FE4" s="146" t="s">
        <v>632</v>
      </c>
      <c r="FF4" s="146" t="s">
        <v>633</v>
      </c>
      <c r="FG4" s="146" t="s">
        <v>634</v>
      </c>
      <c r="FH4" s="146" t="s">
        <v>635</v>
      </c>
      <c r="FI4" s="146" t="s">
        <v>636</v>
      </c>
      <c r="FJ4" s="146" t="s">
        <v>637</v>
      </c>
      <c r="FK4" s="146" t="s">
        <v>638</v>
      </c>
      <c r="FL4" s="146" t="s">
        <v>639</v>
      </c>
      <c r="FM4" s="146" t="s">
        <v>640</v>
      </c>
      <c r="FN4" s="146" t="s">
        <v>641</v>
      </c>
      <c r="FO4" s="146" t="s">
        <v>658</v>
      </c>
      <c r="FP4" s="146" t="s">
        <v>659</v>
      </c>
      <c r="FQ4" s="146" t="s">
        <v>660</v>
      </c>
      <c r="FR4" s="146" t="s">
        <v>661</v>
      </c>
      <c r="FS4" s="146" t="s">
        <v>662</v>
      </c>
      <c r="FT4" s="146" t="s">
        <v>663</v>
      </c>
      <c r="FU4" s="146" t="s">
        <v>664</v>
      </c>
      <c r="FV4" s="146" t="s">
        <v>665</v>
      </c>
      <c r="FW4" s="146" t="s">
        <v>666</v>
      </c>
      <c r="FX4" s="146" t="s">
        <v>667</v>
      </c>
      <c r="FY4" s="146" t="s">
        <v>668</v>
      </c>
      <c r="FZ4" s="146" t="s">
        <v>669</v>
      </c>
      <c r="GA4" s="146" t="s">
        <v>670</v>
      </c>
      <c r="GB4" s="146" t="s">
        <v>980</v>
      </c>
      <c r="GC4" s="146" t="s">
        <v>981</v>
      </c>
      <c r="GD4" s="146" t="s">
        <v>982</v>
      </c>
      <c r="GE4" s="146" t="s">
        <v>983</v>
      </c>
    </row>
    <row r="5" spans="1:187">
      <c r="A5" s="147" t="s">
        <v>46</v>
      </c>
      <c r="B5" s="148"/>
      <c r="C5" s="149" t="str">
        <f>RIGHT(D5,6)</f>
        <v>005157</v>
      </c>
      <c r="D5" s="149" t="s">
        <v>1771</v>
      </c>
      <c r="E5" s="149"/>
      <c r="F5" s="150" t="s">
        <v>497</v>
      </c>
      <c r="G5" s="149">
        <v>1</v>
      </c>
      <c r="H5" s="149"/>
      <c r="I5" s="149" t="s">
        <v>1773</v>
      </c>
      <c r="J5" s="149">
        <v>1</v>
      </c>
      <c r="K5" s="149"/>
      <c r="L5" s="149">
        <v>1972</v>
      </c>
      <c r="M5" s="150" t="s">
        <v>490</v>
      </c>
      <c r="N5" s="151">
        <v>100574721</v>
      </c>
      <c r="O5" s="149"/>
      <c r="P5" s="149"/>
      <c r="Q5" s="149"/>
      <c r="R5" s="149"/>
      <c r="S5" s="149" t="s">
        <v>1774</v>
      </c>
      <c r="T5" s="149" t="str">
        <f>VLOOKUP(U5,MaXa_3cap_2cap!$B$2:$C$369,2,0)</f>
        <v>06910</v>
      </c>
      <c r="U5" s="149" t="s">
        <v>1776</v>
      </c>
      <c r="V5" s="149" t="s">
        <v>1775</v>
      </c>
      <c r="W5" s="149"/>
      <c r="X5" s="149"/>
      <c r="Y5" s="150" t="s">
        <v>1777</v>
      </c>
      <c r="Z5" s="149" t="s">
        <v>1778</v>
      </c>
      <c r="AA5" s="149">
        <v>0</v>
      </c>
      <c r="AB5" s="149"/>
      <c r="AC5" s="149">
        <v>1973</v>
      </c>
      <c r="AD5" s="149" t="s">
        <v>490</v>
      </c>
      <c r="AE5" s="149">
        <v>100597591</v>
      </c>
      <c r="AF5" s="149"/>
      <c r="AG5" s="149"/>
      <c r="AH5" s="149"/>
      <c r="AI5" s="149"/>
      <c r="AJ5" s="149" t="s">
        <v>1774</v>
      </c>
      <c r="AK5" s="149" t="str">
        <f>VLOOKUP(AL5,MaXa_3cap_2cap!$B$2:$C$369,2,0)</f>
        <v>06910</v>
      </c>
      <c r="AL5" s="149" t="s">
        <v>1776</v>
      </c>
      <c r="AM5" s="149" t="s">
        <v>1775</v>
      </c>
      <c r="AN5" s="149"/>
      <c r="AO5" s="149"/>
      <c r="AP5" s="149" t="s">
        <v>1777</v>
      </c>
      <c r="AQ5" s="149">
        <v>26</v>
      </c>
      <c r="AR5" s="149">
        <v>54</v>
      </c>
      <c r="AS5" s="149">
        <v>1000</v>
      </c>
      <c r="AT5" s="149"/>
      <c r="AU5" s="149" t="str">
        <f>VLOOKUP(CP5,'TT DO DAC'!$B$2:$G$213,5,0)</f>
        <v>Chi nhánh xí nghiệp tài nguyên và môi trường 7</v>
      </c>
      <c r="AV5" s="149"/>
      <c r="AW5" s="149"/>
      <c r="AX5" s="152">
        <f>VLOOKUP(CP5,'TT DO DAC'!$B$2:$G$213,6,0)</f>
        <v>41274</v>
      </c>
      <c r="AY5" s="150" t="s">
        <v>1852</v>
      </c>
      <c r="AZ5" s="149"/>
      <c r="BA5" s="149"/>
      <c r="BB5" s="153" t="s">
        <v>1028</v>
      </c>
      <c r="BC5" s="153" t="str">
        <f>VLOOKUP(BB5,DM_LoaiDat!$B$2:$C$78,2,0)</f>
        <v xml:space="preserve">LUC </v>
      </c>
      <c r="BD5" s="149" t="str">
        <f>BC5</f>
        <v xml:space="preserve">LUC </v>
      </c>
      <c r="BE5" s="154">
        <v>546.9</v>
      </c>
      <c r="BF5" s="150">
        <v>0</v>
      </c>
      <c r="BG5" s="149" t="s">
        <v>1779</v>
      </c>
      <c r="BH5" s="149"/>
      <c r="BI5" s="149" t="s">
        <v>204</v>
      </c>
      <c r="BJ5" s="149" t="str">
        <f>VLOOKUP(BI5,DM_NguonGocSuDungDat!$A$2:$B$24,2,0)</f>
        <v>Nhà nước giao đất không thu tiền sử dụng đất</v>
      </c>
      <c r="BK5" s="149"/>
      <c r="BL5" s="149"/>
      <c r="BM5" s="149"/>
      <c r="BN5" s="149"/>
      <c r="BO5" s="149"/>
      <c r="BP5" s="149"/>
      <c r="BQ5" s="149"/>
      <c r="BR5" s="149"/>
      <c r="BS5" s="149"/>
      <c r="BT5" s="149"/>
      <c r="BU5" s="149"/>
      <c r="BV5" s="149"/>
      <c r="BW5" s="149"/>
      <c r="BX5" s="149"/>
      <c r="BY5" s="149"/>
      <c r="BZ5" s="149"/>
      <c r="CA5" s="149"/>
      <c r="CB5" s="149"/>
      <c r="CC5" s="149"/>
      <c r="CD5" s="149"/>
      <c r="CE5" s="149"/>
      <c r="CF5" s="149"/>
      <c r="CG5" s="149"/>
      <c r="CH5" s="149"/>
      <c r="CI5" s="149"/>
      <c r="CJ5" s="149"/>
      <c r="CK5" s="149"/>
      <c r="CL5" s="149"/>
      <c r="CM5" s="149"/>
      <c r="CN5" s="149"/>
      <c r="CO5" s="149"/>
      <c r="CP5" s="149" t="s">
        <v>1776</v>
      </c>
      <c r="CQ5" s="149" t="s">
        <v>1775</v>
      </c>
      <c r="CR5" s="149"/>
      <c r="CS5" s="149"/>
      <c r="CT5" s="149">
        <v>0</v>
      </c>
      <c r="CU5" s="149"/>
      <c r="CV5" s="149" t="s">
        <v>424</v>
      </c>
      <c r="CW5" s="149" t="s">
        <v>1854</v>
      </c>
      <c r="CX5" s="149"/>
      <c r="CY5" s="152">
        <v>44055</v>
      </c>
      <c r="CZ5" s="149" t="s">
        <v>1780</v>
      </c>
      <c r="DA5" s="149">
        <v>0</v>
      </c>
      <c r="DB5" s="149">
        <v>1</v>
      </c>
      <c r="DC5" s="149">
        <v>2020</v>
      </c>
      <c r="DD5" s="149"/>
      <c r="DE5" s="149"/>
      <c r="DF5" s="149"/>
      <c r="DG5" s="149"/>
      <c r="DH5" s="149"/>
      <c r="DI5" s="149"/>
      <c r="DJ5" s="149"/>
      <c r="DK5" s="149"/>
      <c r="DL5" s="149"/>
      <c r="DM5" s="149"/>
      <c r="DN5" s="149"/>
      <c r="DO5" s="149"/>
      <c r="DP5" s="149"/>
      <c r="DQ5" s="149"/>
      <c r="DR5" s="149"/>
      <c r="DS5" s="149"/>
      <c r="DT5" s="149"/>
      <c r="DU5" s="149"/>
      <c r="DV5" s="149"/>
      <c r="DW5" s="149"/>
      <c r="DX5" s="149"/>
      <c r="DY5" s="149"/>
      <c r="DZ5" s="149"/>
      <c r="EA5" s="149"/>
      <c r="EB5" s="149"/>
      <c r="EC5" s="149"/>
      <c r="ED5" s="149"/>
      <c r="EE5" s="149"/>
      <c r="EF5" s="149"/>
      <c r="EG5" s="149"/>
      <c r="EH5" s="149"/>
      <c r="EI5" s="149"/>
      <c r="EJ5" s="149"/>
      <c r="EK5" s="149"/>
      <c r="EL5" s="149"/>
      <c r="EM5" s="149"/>
      <c r="EN5" s="149"/>
      <c r="EO5" s="149"/>
      <c r="EP5" s="149"/>
      <c r="EQ5" s="149"/>
      <c r="ER5" s="149"/>
      <c r="ES5" s="149"/>
      <c r="ET5" s="149"/>
      <c r="EU5" s="149"/>
      <c r="EV5" s="149"/>
      <c r="EW5" s="149"/>
      <c r="EX5" s="149"/>
      <c r="EY5" s="149"/>
      <c r="EZ5" s="149"/>
      <c r="FA5" s="149"/>
      <c r="FB5" s="149"/>
      <c r="FC5" s="149"/>
      <c r="FD5" s="149"/>
      <c r="FE5" s="149"/>
      <c r="FF5" s="149"/>
      <c r="FG5" s="149"/>
      <c r="FH5" s="149"/>
      <c r="FI5" s="149"/>
      <c r="FJ5" s="149"/>
      <c r="FK5" s="149"/>
      <c r="FL5" s="149"/>
      <c r="FM5" s="149"/>
      <c r="FN5" s="149"/>
      <c r="FO5" s="149"/>
      <c r="FP5" s="149"/>
      <c r="FQ5" s="149"/>
      <c r="FR5" s="149"/>
      <c r="FS5" s="149"/>
      <c r="FT5" s="149"/>
      <c r="FU5" s="149"/>
      <c r="FV5" s="149"/>
      <c r="FW5" s="149"/>
      <c r="FX5" s="149"/>
      <c r="FY5" s="149"/>
      <c r="FZ5" s="149"/>
      <c r="GA5" s="149"/>
      <c r="GB5" s="149" t="s">
        <v>1772</v>
      </c>
      <c r="GC5" s="149"/>
      <c r="GD5" s="149"/>
      <c r="GE5" s="149"/>
    </row>
    <row r="6" spans="1:187">
      <c r="A6" s="147" t="s">
        <v>47</v>
      </c>
      <c r="B6" s="148"/>
      <c r="C6" s="149" t="str">
        <f t="shared" ref="C6:C44" si="0">RIGHT(D6,6)</f>
        <v>005157</v>
      </c>
      <c r="D6" s="149" t="s">
        <v>1771</v>
      </c>
      <c r="E6" s="149"/>
      <c r="F6" s="150" t="s">
        <v>497</v>
      </c>
      <c r="G6" s="149">
        <v>1</v>
      </c>
      <c r="H6" s="149"/>
      <c r="I6" s="149" t="s">
        <v>1773</v>
      </c>
      <c r="J6" s="149">
        <v>1</v>
      </c>
      <c r="K6" s="149"/>
      <c r="L6" s="149">
        <v>1972</v>
      </c>
      <c r="M6" s="150" t="s">
        <v>490</v>
      </c>
      <c r="N6" s="151">
        <v>100574721</v>
      </c>
      <c r="O6" s="149"/>
      <c r="P6" s="149"/>
      <c r="Q6" s="149"/>
      <c r="R6" s="149"/>
      <c r="S6" s="149" t="s">
        <v>1774</v>
      </c>
      <c r="T6" s="149" t="str">
        <f>VLOOKUP(U6,MaXa_3cap_2cap!$B$2:$C$369,2,0)</f>
        <v>06910</v>
      </c>
      <c r="U6" s="149" t="s">
        <v>1776</v>
      </c>
      <c r="V6" s="149" t="s">
        <v>1775</v>
      </c>
      <c r="W6" s="149"/>
      <c r="X6" s="149"/>
      <c r="Y6" s="150" t="s">
        <v>1777</v>
      </c>
      <c r="Z6" s="149" t="s">
        <v>1778</v>
      </c>
      <c r="AA6" s="149">
        <v>0</v>
      </c>
      <c r="AB6" s="149"/>
      <c r="AC6" s="149">
        <v>1973</v>
      </c>
      <c r="AD6" s="149" t="s">
        <v>490</v>
      </c>
      <c r="AE6" s="149">
        <v>100597591</v>
      </c>
      <c r="AF6" s="149"/>
      <c r="AG6" s="149"/>
      <c r="AH6" s="149"/>
      <c r="AI6" s="149"/>
      <c r="AJ6" s="149" t="s">
        <v>1774</v>
      </c>
      <c r="AK6" s="149" t="str">
        <f>VLOOKUP(AL6,MaXa_3cap_2cap!$B$2:$C$369,2,0)</f>
        <v>06910</v>
      </c>
      <c r="AL6" s="149" t="s">
        <v>1776</v>
      </c>
      <c r="AM6" s="149" t="s">
        <v>1775</v>
      </c>
      <c r="AN6" s="149"/>
      <c r="AO6" s="149"/>
      <c r="AP6" s="149" t="s">
        <v>1777</v>
      </c>
      <c r="AQ6" s="149">
        <v>48</v>
      </c>
      <c r="AR6" s="149">
        <v>55</v>
      </c>
      <c r="AS6" s="149">
        <v>1000</v>
      </c>
      <c r="AT6" s="149"/>
      <c r="AU6" s="149" t="str">
        <f>VLOOKUP(CP6,'TT DO DAC'!$B$2:$G$213,5,0)</f>
        <v>Chi nhánh xí nghiệp tài nguyên và môi trường 7</v>
      </c>
      <c r="AV6" s="149"/>
      <c r="AW6" s="149"/>
      <c r="AX6" s="152">
        <f>VLOOKUP(CP6,'TT DO DAC'!$B$2:$G$213,6,0)</f>
        <v>41274</v>
      </c>
      <c r="AY6" s="150" t="s">
        <v>1852</v>
      </c>
      <c r="AZ6" s="149"/>
      <c r="BA6" s="149"/>
      <c r="BB6" s="149" t="s">
        <v>1030</v>
      </c>
      <c r="BC6" s="153" t="str">
        <f>VLOOKUP(BB6,DM_LoaiDat!$B$2:$C$78,2,0)</f>
        <v xml:space="preserve">HNK </v>
      </c>
      <c r="BD6" s="149" t="str">
        <f t="shared" ref="BD6:BD7" si="1">BC6</f>
        <v xml:space="preserve">HNK </v>
      </c>
      <c r="BE6" s="154">
        <v>217.7</v>
      </c>
      <c r="BF6" s="150">
        <v>0</v>
      </c>
      <c r="BG6" s="149" t="s">
        <v>1779</v>
      </c>
      <c r="BH6" s="149"/>
      <c r="BI6" s="149" t="s">
        <v>204</v>
      </c>
      <c r="BJ6" s="149" t="str">
        <f>VLOOKUP(BI6,DM_NguonGocSuDungDat!$A$2:$B$24,2,0)</f>
        <v>Nhà nước giao đất không thu tiền sử dụng đất</v>
      </c>
      <c r="BK6" s="149"/>
      <c r="BL6" s="149"/>
      <c r="BM6" s="149"/>
      <c r="BN6" s="149"/>
      <c r="BO6" s="149"/>
      <c r="BP6" s="149"/>
      <c r="BQ6" s="149"/>
      <c r="BR6" s="149"/>
      <c r="BS6" s="149"/>
      <c r="BT6" s="149"/>
      <c r="BU6" s="149"/>
      <c r="BV6" s="149"/>
      <c r="BW6" s="149"/>
      <c r="BX6" s="149"/>
      <c r="BY6" s="149"/>
      <c r="BZ6" s="149"/>
      <c r="CA6" s="149"/>
      <c r="CB6" s="149"/>
      <c r="CC6" s="149"/>
      <c r="CD6" s="149"/>
      <c r="CE6" s="149"/>
      <c r="CF6" s="149"/>
      <c r="CG6" s="149"/>
      <c r="CH6" s="149"/>
      <c r="CI6" s="149"/>
      <c r="CJ6" s="149"/>
      <c r="CK6" s="149"/>
      <c r="CL6" s="149"/>
      <c r="CM6" s="149"/>
      <c r="CN6" s="149"/>
      <c r="CO6" s="149"/>
      <c r="CP6" s="149" t="s">
        <v>1776</v>
      </c>
      <c r="CQ6" s="149" t="s">
        <v>1775</v>
      </c>
      <c r="CR6" s="149"/>
      <c r="CS6" s="149"/>
      <c r="CT6" s="149">
        <v>0</v>
      </c>
      <c r="CU6" s="149"/>
      <c r="CV6" s="149" t="s">
        <v>424</v>
      </c>
      <c r="CW6" s="149" t="s">
        <v>1854</v>
      </c>
      <c r="CX6" s="149"/>
      <c r="CY6" s="152">
        <v>44055</v>
      </c>
      <c r="CZ6" s="149" t="s">
        <v>1780</v>
      </c>
      <c r="DA6" s="149">
        <v>0</v>
      </c>
      <c r="DB6" s="149">
        <v>1</v>
      </c>
      <c r="DC6" s="149">
        <v>2020</v>
      </c>
      <c r="DD6" s="149"/>
      <c r="DE6" s="149"/>
      <c r="DF6" s="149"/>
      <c r="DG6" s="149"/>
      <c r="DH6" s="149"/>
      <c r="DI6" s="149"/>
      <c r="DJ6" s="149"/>
      <c r="DK6" s="149"/>
      <c r="DL6" s="149"/>
      <c r="DM6" s="149"/>
      <c r="DN6" s="149"/>
      <c r="DO6" s="149"/>
      <c r="DP6" s="149"/>
      <c r="DQ6" s="149"/>
      <c r="DR6" s="149"/>
      <c r="DS6" s="149"/>
      <c r="DT6" s="149"/>
      <c r="DU6" s="149"/>
      <c r="DV6" s="149"/>
      <c r="DW6" s="149"/>
      <c r="DX6" s="149"/>
      <c r="DY6" s="149"/>
      <c r="DZ6" s="149"/>
      <c r="EA6" s="149"/>
      <c r="EB6" s="149"/>
      <c r="EC6" s="149"/>
      <c r="ED6" s="149"/>
      <c r="EE6" s="149"/>
      <c r="EF6" s="149"/>
      <c r="EG6" s="149"/>
      <c r="EH6" s="149"/>
      <c r="EI6" s="149"/>
      <c r="EJ6" s="149"/>
      <c r="EK6" s="149"/>
      <c r="EL6" s="149"/>
      <c r="EM6" s="149"/>
      <c r="EN6" s="149"/>
      <c r="EO6" s="149"/>
      <c r="EP6" s="149"/>
      <c r="EQ6" s="149"/>
      <c r="ER6" s="149"/>
      <c r="ES6" s="149"/>
      <c r="ET6" s="149"/>
      <c r="EU6" s="149"/>
      <c r="EV6" s="149"/>
      <c r="EW6" s="149"/>
      <c r="EX6" s="149"/>
      <c r="EY6" s="149"/>
      <c r="EZ6" s="149"/>
      <c r="FA6" s="149"/>
      <c r="FB6" s="149"/>
      <c r="FC6" s="149"/>
      <c r="FD6" s="149"/>
      <c r="FE6" s="149"/>
      <c r="FF6" s="149"/>
      <c r="FG6" s="149"/>
      <c r="FH6" s="149"/>
      <c r="FI6" s="149"/>
      <c r="FJ6" s="149"/>
      <c r="FK6" s="149"/>
      <c r="FL6" s="149"/>
      <c r="FM6" s="149"/>
      <c r="FN6" s="149"/>
      <c r="FO6" s="149"/>
      <c r="FP6" s="149"/>
      <c r="FQ6" s="149"/>
      <c r="FR6" s="149"/>
      <c r="FS6" s="149"/>
      <c r="FT6" s="149"/>
      <c r="FU6" s="149"/>
      <c r="FV6" s="149"/>
      <c r="FW6" s="149"/>
      <c r="FX6" s="149"/>
      <c r="FY6" s="149"/>
      <c r="FZ6" s="149"/>
      <c r="GA6" s="149"/>
      <c r="GB6" s="149" t="s">
        <v>1772</v>
      </c>
      <c r="GC6" s="149"/>
      <c r="GD6" s="149"/>
      <c r="GE6" s="149"/>
    </row>
    <row r="7" spans="1:187">
      <c r="A7" s="147" t="s">
        <v>48</v>
      </c>
      <c r="B7" s="148"/>
      <c r="C7" s="149" t="str">
        <f t="shared" si="0"/>
        <v>005157</v>
      </c>
      <c r="D7" s="149" t="s">
        <v>1771</v>
      </c>
      <c r="E7" s="149"/>
      <c r="F7" s="150" t="s">
        <v>497</v>
      </c>
      <c r="G7" s="149">
        <v>1</v>
      </c>
      <c r="H7" s="149"/>
      <c r="I7" s="149" t="s">
        <v>1773</v>
      </c>
      <c r="J7" s="149">
        <v>1</v>
      </c>
      <c r="K7" s="149"/>
      <c r="L7" s="149">
        <v>1972</v>
      </c>
      <c r="M7" s="150" t="s">
        <v>490</v>
      </c>
      <c r="N7" s="151">
        <v>100574721</v>
      </c>
      <c r="O7" s="149"/>
      <c r="P7" s="149"/>
      <c r="Q7" s="149"/>
      <c r="R7" s="149"/>
      <c r="S7" s="149" t="s">
        <v>1774</v>
      </c>
      <c r="T7" s="149" t="str">
        <f>VLOOKUP(U7,MaXa_3cap_2cap!$B$2:$C$369,2,0)</f>
        <v>06910</v>
      </c>
      <c r="U7" s="149" t="s">
        <v>1776</v>
      </c>
      <c r="V7" s="149" t="s">
        <v>1775</v>
      </c>
      <c r="W7" s="149"/>
      <c r="X7" s="149"/>
      <c r="Y7" s="150" t="s">
        <v>1777</v>
      </c>
      <c r="Z7" s="149" t="s">
        <v>1778</v>
      </c>
      <c r="AA7" s="149">
        <v>0</v>
      </c>
      <c r="AB7" s="149"/>
      <c r="AC7" s="149">
        <v>1973</v>
      </c>
      <c r="AD7" s="149" t="s">
        <v>490</v>
      </c>
      <c r="AE7" s="149">
        <v>100597591</v>
      </c>
      <c r="AF7" s="149"/>
      <c r="AG7" s="149"/>
      <c r="AH7" s="149"/>
      <c r="AI7" s="149"/>
      <c r="AJ7" s="149" t="s">
        <v>1774</v>
      </c>
      <c r="AK7" s="149" t="str">
        <f>VLOOKUP(AL7,MaXa_3cap_2cap!$B$2:$C$369,2,0)</f>
        <v>06910</v>
      </c>
      <c r="AL7" s="149" t="s">
        <v>1776</v>
      </c>
      <c r="AM7" s="149" t="s">
        <v>1775</v>
      </c>
      <c r="AN7" s="149"/>
      <c r="AO7" s="149"/>
      <c r="AP7" s="149" t="s">
        <v>1777</v>
      </c>
      <c r="AQ7" s="149">
        <v>220</v>
      </c>
      <c r="AR7" s="149">
        <v>55</v>
      </c>
      <c r="AS7" s="149">
        <v>1000</v>
      </c>
      <c r="AT7" s="149"/>
      <c r="AU7" s="149" t="str">
        <f>VLOOKUP(CP7,'TT DO DAC'!$B$2:$G$213,5,0)</f>
        <v>Chi nhánh xí nghiệp tài nguyên và môi trường 7</v>
      </c>
      <c r="AV7" s="149"/>
      <c r="AW7" s="149"/>
      <c r="AX7" s="152">
        <f>VLOOKUP(CP7,'TT DO DAC'!$B$2:$G$213,6,0)</f>
        <v>41274</v>
      </c>
      <c r="AY7" s="150" t="s">
        <v>1852</v>
      </c>
      <c r="AZ7" s="149"/>
      <c r="BA7" s="149"/>
      <c r="BB7" s="149" t="s">
        <v>1029</v>
      </c>
      <c r="BC7" s="153" t="str">
        <f>VLOOKUP(BB7,DM_LoaiDat!$B$2:$C$78,2,0)</f>
        <v xml:space="preserve">LUK </v>
      </c>
      <c r="BD7" s="149" t="str">
        <f t="shared" si="1"/>
        <v xml:space="preserve">LUK </v>
      </c>
      <c r="BE7" s="154">
        <v>370.8</v>
      </c>
      <c r="BF7" s="150">
        <v>0</v>
      </c>
      <c r="BG7" s="149" t="s">
        <v>1779</v>
      </c>
      <c r="BH7" s="149"/>
      <c r="BI7" s="149" t="s">
        <v>204</v>
      </c>
      <c r="BJ7" s="149" t="str">
        <f>VLOOKUP(BI7,DM_NguonGocSuDungDat!$A$2:$B$24,2,0)</f>
        <v>Nhà nước giao đất không thu tiền sử dụng đất</v>
      </c>
      <c r="BK7" s="149"/>
      <c r="BL7" s="149"/>
      <c r="BM7" s="149"/>
      <c r="BN7" s="149"/>
      <c r="BO7" s="149"/>
      <c r="BP7" s="149"/>
      <c r="BQ7" s="149"/>
      <c r="BR7" s="149"/>
      <c r="BS7" s="149"/>
      <c r="BT7" s="149"/>
      <c r="BU7" s="149"/>
      <c r="BV7" s="149"/>
      <c r="BW7" s="149"/>
      <c r="BX7" s="149"/>
      <c r="BY7" s="149"/>
      <c r="BZ7" s="149"/>
      <c r="CA7" s="149"/>
      <c r="CB7" s="149"/>
      <c r="CC7" s="149"/>
      <c r="CD7" s="149"/>
      <c r="CE7" s="149"/>
      <c r="CF7" s="149"/>
      <c r="CG7" s="149"/>
      <c r="CH7" s="149"/>
      <c r="CI7" s="149"/>
      <c r="CJ7" s="149"/>
      <c r="CK7" s="149"/>
      <c r="CL7" s="149"/>
      <c r="CM7" s="149"/>
      <c r="CN7" s="149"/>
      <c r="CO7" s="149"/>
      <c r="CP7" s="149" t="s">
        <v>1776</v>
      </c>
      <c r="CQ7" s="149" t="s">
        <v>1775</v>
      </c>
      <c r="CR7" s="149"/>
      <c r="CS7" s="149"/>
      <c r="CT7" s="149">
        <v>0</v>
      </c>
      <c r="CU7" s="149"/>
      <c r="CV7" s="149" t="s">
        <v>424</v>
      </c>
      <c r="CW7" s="149" t="s">
        <v>1854</v>
      </c>
      <c r="CX7" s="149"/>
      <c r="CY7" s="152">
        <v>44055</v>
      </c>
      <c r="CZ7" s="149" t="s">
        <v>1780</v>
      </c>
      <c r="DA7" s="149">
        <v>0</v>
      </c>
      <c r="DB7" s="149">
        <v>1</v>
      </c>
      <c r="DC7" s="149">
        <v>2020</v>
      </c>
      <c r="DD7" s="149"/>
      <c r="DE7" s="149"/>
      <c r="DF7" s="149"/>
      <c r="DG7" s="149"/>
      <c r="DH7" s="149"/>
      <c r="DI7" s="149"/>
      <c r="DJ7" s="149"/>
      <c r="DK7" s="149"/>
      <c r="DL7" s="149"/>
      <c r="DM7" s="149"/>
      <c r="DN7" s="149"/>
      <c r="DO7" s="149"/>
      <c r="DP7" s="149"/>
      <c r="DQ7" s="149"/>
      <c r="DR7" s="149"/>
      <c r="DS7" s="149"/>
      <c r="DT7" s="149"/>
      <c r="DU7" s="149"/>
      <c r="DV7" s="149"/>
      <c r="DW7" s="149"/>
      <c r="DX7" s="149"/>
      <c r="DY7" s="149"/>
      <c r="DZ7" s="149"/>
      <c r="EA7" s="149"/>
      <c r="EB7" s="149"/>
      <c r="EC7" s="149"/>
      <c r="ED7" s="149"/>
      <c r="EE7" s="149"/>
      <c r="EF7" s="149"/>
      <c r="EG7" s="149"/>
      <c r="EH7" s="149"/>
      <c r="EI7" s="149"/>
      <c r="EJ7" s="149"/>
      <c r="EK7" s="149"/>
      <c r="EL7" s="149"/>
      <c r="EM7" s="149"/>
      <c r="EN7" s="149"/>
      <c r="EO7" s="149"/>
      <c r="EP7" s="149"/>
      <c r="EQ7" s="149"/>
      <c r="ER7" s="149"/>
      <c r="ES7" s="149"/>
      <c r="ET7" s="149"/>
      <c r="EU7" s="149"/>
      <c r="EV7" s="149"/>
      <c r="EW7" s="149"/>
      <c r="EX7" s="149"/>
      <c r="EY7" s="149"/>
      <c r="EZ7" s="149"/>
      <c r="FA7" s="149"/>
      <c r="FB7" s="149"/>
      <c r="FC7" s="149"/>
      <c r="FD7" s="149"/>
      <c r="FE7" s="149"/>
      <c r="FF7" s="149"/>
      <c r="FG7" s="149"/>
      <c r="FH7" s="149"/>
      <c r="FI7" s="149"/>
      <c r="FJ7" s="149"/>
      <c r="FK7" s="149"/>
      <c r="FL7" s="149"/>
      <c r="FM7" s="149"/>
      <c r="FN7" s="149"/>
      <c r="FO7" s="149"/>
      <c r="FP7" s="149"/>
      <c r="FQ7" s="149"/>
      <c r="FR7" s="149"/>
      <c r="FS7" s="149"/>
      <c r="FT7" s="149"/>
      <c r="FU7" s="149"/>
      <c r="FV7" s="149"/>
      <c r="FW7" s="149"/>
      <c r="FX7" s="149"/>
      <c r="FY7" s="149"/>
      <c r="FZ7" s="149"/>
      <c r="GA7" s="149"/>
      <c r="GB7" s="149" t="s">
        <v>1772</v>
      </c>
      <c r="GC7" s="149"/>
      <c r="GD7" s="149"/>
      <c r="GE7" s="149"/>
    </row>
    <row r="8" spans="1:187">
      <c r="A8" s="147" t="s">
        <v>49</v>
      </c>
      <c r="B8" s="148"/>
      <c r="C8" s="149" t="str">
        <f t="shared" si="0"/>
        <v>005157</v>
      </c>
      <c r="D8" s="149" t="s">
        <v>1771</v>
      </c>
      <c r="E8" s="149"/>
      <c r="F8" s="150" t="s">
        <v>497</v>
      </c>
      <c r="G8" s="149">
        <v>1</v>
      </c>
      <c r="H8" s="149"/>
      <c r="I8" s="149" t="s">
        <v>1773</v>
      </c>
      <c r="J8" s="149">
        <v>1</v>
      </c>
      <c r="K8" s="149"/>
      <c r="L8" s="149">
        <v>1972</v>
      </c>
      <c r="M8" s="150" t="s">
        <v>490</v>
      </c>
      <c r="N8" s="151">
        <v>100574721</v>
      </c>
      <c r="O8" s="149"/>
      <c r="P8" s="149"/>
      <c r="Q8" s="149"/>
      <c r="R8" s="149"/>
      <c r="S8" s="149" t="s">
        <v>1774</v>
      </c>
      <c r="T8" s="149" t="str">
        <f>VLOOKUP(U8,MaXa_3cap_2cap!$B$2:$C$369,2,0)</f>
        <v>06910</v>
      </c>
      <c r="U8" s="149" t="s">
        <v>1776</v>
      </c>
      <c r="V8" s="149" t="s">
        <v>1775</v>
      </c>
      <c r="W8" s="149"/>
      <c r="X8" s="149"/>
      <c r="Y8" s="150" t="s">
        <v>1777</v>
      </c>
      <c r="Z8" s="149" t="s">
        <v>1778</v>
      </c>
      <c r="AA8" s="149">
        <v>0</v>
      </c>
      <c r="AB8" s="149"/>
      <c r="AC8" s="149">
        <v>1973</v>
      </c>
      <c r="AD8" s="149" t="s">
        <v>490</v>
      </c>
      <c r="AE8" s="149">
        <v>100597591</v>
      </c>
      <c r="AF8" s="149"/>
      <c r="AG8" s="149"/>
      <c r="AH8" s="149"/>
      <c r="AI8" s="149"/>
      <c r="AJ8" s="149" t="s">
        <v>1774</v>
      </c>
      <c r="AK8" s="149" t="str">
        <f>VLOOKUP(AL8,MaXa_3cap_2cap!$B$2:$C$369,2,0)</f>
        <v>06910</v>
      </c>
      <c r="AL8" s="149" t="s">
        <v>1776</v>
      </c>
      <c r="AM8" s="149" t="s">
        <v>1775</v>
      </c>
      <c r="AN8" s="149"/>
      <c r="AO8" s="149"/>
      <c r="AP8" s="149" t="s">
        <v>1777</v>
      </c>
      <c r="AQ8" s="149">
        <v>253</v>
      </c>
      <c r="AR8" s="149">
        <v>55</v>
      </c>
      <c r="AS8" s="149">
        <v>1000</v>
      </c>
      <c r="AT8" s="149"/>
      <c r="AU8" s="149" t="str">
        <f>VLOOKUP(CP8,'TT DO DAC'!$B$2:$G$213,5,0)</f>
        <v>Chi nhánh xí nghiệp tài nguyên và môi trường 7</v>
      </c>
      <c r="AV8" s="149"/>
      <c r="AW8" s="149"/>
      <c r="AX8" s="152">
        <f>VLOOKUP(CP8,'TT DO DAC'!$B$2:$G$213,6,0)</f>
        <v>41274</v>
      </c>
      <c r="AY8" s="150" t="s">
        <v>1852</v>
      </c>
      <c r="AZ8" s="149"/>
      <c r="BA8" s="149"/>
      <c r="BB8" s="149" t="s">
        <v>1029</v>
      </c>
      <c r="BC8" s="153" t="str">
        <f>VLOOKUP(BB8,DM_LoaiDat!$B$2:$C$78,2,0)</f>
        <v xml:space="preserve">LUK </v>
      </c>
      <c r="BD8" s="149" t="str">
        <f>BC8</f>
        <v xml:space="preserve">LUK </v>
      </c>
      <c r="BE8" s="154">
        <v>515.70000000000005</v>
      </c>
      <c r="BF8" s="150">
        <v>0</v>
      </c>
      <c r="BG8" s="149" t="s">
        <v>1779</v>
      </c>
      <c r="BH8" s="149"/>
      <c r="BI8" s="149" t="s">
        <v>204</v>
      </c>
      <c r="BJ8" s="149" t="str">
        <f>VLOOKUP(BI8,DM_NguonGocSuDungDat!$A$2:$B$24,2,0)</f>
        <v>Nhà nước giao đất không thu tiền sử dụng đất</v>
      </c>
      <c r="BK8" s="149"/>
      <c r="BL8" s="149"/>
      <c r="BM8" s="149"/>
      <c r="BN8" s="149"/>
      <c r="BO8" s="149"/>
      <c r="BP8" s="149"/>
      <c r="BQ8" s="149"/>
      <c r="BR8" s="149"/>
      <c r="BS8" s="149"/>
      <c r="BT8" s="149"/>
      <c r="BU8" s="149"/>
      <c r="BV8" s="149"/>
      <c r="BW8" s="149"/>
      <c r="BX8" s="149"/>
      <c r="BY8" s="149"/>
      <c r="BZ8" s="149"/>
      <c r="CA8" s="149"/>
      <c r="CB8" s="149"/>
      <c r="CC8" s="149"/>
      <c r="CD8" s="149"/>
      <c r="CE8" s="149"/>
      <c r="CF8" s="149"/>
      <c r="CG8" s="149"/>
      <c r="CH8" s="149"/>
      <c r="CI8" s="149"/>
      <c r="CJ8" s="149"/>
      <c r="CK8" s="149"/>
      <c r="CL8" s="149"/>
      <c r="CM8" s="149"/>
      <c r="CN8" s="149"/>
      <c r="CO8" s="149"/>
      <c r="CP8" s="149" t="s">
        <v>1776</v>
      </c>
      <c r="CQ8" s="149" t="s">
        <v>1775</v>
      </c>
      <c r="CR8" s="149"/>
      <c r="CS8" s="149"/>
      <c r="CT8" s="149">
        <v>0</v>
      </c>
      <c r="CU8" s="149"/>
      <c r="CV8" s="149" t="s">
        <v>424</v>
      </c>
      <c r="CW8" s="149" t="s">
        <v>1854</v>
      </c>
      <c r="CX8" s="149"/>
      <c r="CY8" s="152">
        <v>44055</v>
      </c>
      <c r="CZ8" s="149" t="s">
        <v>1780</v>
      </c>
      <c r="DA8" s="149">
        <v>0</v>
      </c>
      <c r="DB8" s="149">
        <v>1</v>
      </c>
      <c r="DC8" s="149">
        <v>2020</v>
      </c>
      <c r="DD8" s="149"/>
      <c r="DE8" s="149"/>
      <c r="DF8" s="149"/>
      <c r="DG8" s="149"/>
      <c r="DH8" s="149"/>
      <c r="DI8" s="149"/>
      <c r="DJ8" s="149"/>
      <c r="DK8" s="149"/>
      <c r="DL8" s="149"/>
      <c r="DM8" s="149"/>
      <c r="DN8" s="149"/>
      <c r="DO8" s="149"/>
      <c r="DP8" s="149"/>
      <c r="DQ8" s="149"/>
      <c r="DR8" s="149"/>
      <c r="DS8" s="149"/>
      <c r="DT8" s="149"/>
      <c r="DU8" s="149"/>
      <c r="DV8" s="149"/>
      <c r="DW8" s="149"/>
      <c r="DX8" s="149"/>
      <c r="DY8" s="149"/>
      <c r="DZ8" s="149"/>
      <c r="EA8" s="149"/>
      <c r="EB8" s="149"/>
      <c r="EC8" s="149"/>
      <c r="ED8" s="149"/>
      <c r="EE8" s="149"/>
      <c r="EF8" s="149"/>
      <c r="EG8" s="149"/>
      <c r="EH8" s="149"/>
      <c r="EI8" s="149"/>
      <c r="EJ8" s="149"/>
      <c r="EK8" s="149"/>
      <c r="EL8" s="149"/>
      <c r="EM8" s="149"/>
      <c r="EN8" s="149"/>
      <c r="EO8" s="149"/>
      <c r="EP8" s="149"/>
      <c r="EQ8" s="149"/>
      <c r="ER8" s="149"/>
      <c r="ES8" s="149"/>
      <c r="ET8" s="149"/>
      <c r="EU8" s="149"/>
      <c r="EV8" s="149"/>
      <c r="EW8" s="149"/>
      <c r="EX8" s="149"/>
      <c r="EY8" s="149"/>
      <c r="EZ8" s="149"/>
      <c r="FA8" s="149"/>
      <c r="FB8" s="149"/>
      <c r="FC8" s="149"/>
      <c r="FD8" s="149"/>
      <c r="FE8" s="149"/>
      <c r="FF8" s="149"/>
      <c r="FG8" s="149"/>
      <c r="FH8" s="149"/>
      <c r="FI8" s="149"/>
      <c r="FJ8" s="149"/>
      <c r="FK8" s="149"/>
      <c r="FL8" s="149"/>
      <c r="FM8" s="149"/>
      <c r="FN8" s="149"/>
      <c r="FO8" s="149"/>
      <c r="FP8" s="149"/>
      <c r="FQ8" s="149"/>
      <c r="FR8" s="149"/>
      <c r="FS8" s="149"/>
      <c r="FT8" s="149"/>
      <c r="FU8" s="149"/>
      <c r="FV8" s="149"/>
      <c r="FW8" s="149"/>
      <c r="FX8" s="149"/>
      <c r="FY8" s="149"/>
      <c r="FZ8" s="149"/>
      <c r="GA8" s="149"/>
      <c r="GB8" s="149" t="s">
        <v>1772</v>
      </c>
      <c r="GC8" s="149"/>
      <c r="GD8" s="149"/>
      <c r="GE8" s="149"/>
    </row>
    <row r="9" spans="1:187">
      <c r="A9" s="156">
        <v>0.60416666666666663</v>
      </c>
      <c r="B9" s="148"/>
      <c r="C9" s="149"/>
      <c r="D9" s="149"/>
      <c r="E9" s="149"/>
      <c r="F9" s="150"/>
      <c r="G9" s="149"/>
      <c r="H9" s="149"/>
      <c r="I9" s="149"/>
      <c r="J9" s="149"/>
      <c r="K9" s="149"/>
      <c r="L9" s="149"/>
      <c r="M9" s="150"/>
      <c r="N9" s="151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50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52"/>
      <c r="AY9" s="150"/>
      <c r="AZ9" s="149"/>
      <c r="BA9" s="149"/>
      <c r="BB9" s="149"/>
      <c r="BC9" s="153"/>
      <c r="BD9" s="149"/>
      <c r="BE9" s="154"/>
      <c r="BF9" s="150"/>
      <c r="BG9" s="149"/>
      <c r="BH9" s="149"/>
      <c r="BI9" s="149"/>
      <c r="BJ9" s="149"/>
      <c r="BK9" s="149"/>
      <c r="BL9" s="149"/>
      <c r="BM9" s="149"/>
      <c r="BN9" s="149"/>
      <c r="BO9" s="149"/>
      <c r="BP9" s="149"/>
      <c r="BQ9" s="149"/>
      <c r="BR9" s="149"/>
      <c r="BS9" s="149"/>
      <c r="BT9" s="149"/>
      <c r="BU9" s="149"/>
      <c r="BV9" s="149"/>
      <c r="BW9" s="149"/>
      <c r="BX9" s="149"/>
      <c r="BY9" s="149"/>
      <c r="BZ9" s="149"/>
      <c r="CA9" s="149"/>
      <c r="CB9" s="149"/>
      <c r="CC9" s="149"/>
      <c r="CD9" s="149"/>
      <c r="CE9" s="149"/>
      <c r="CF9" s="149"/>
      <c r="CG9" s="149"/>
      <c r="CH9" s="149"/>
      <c r="CI9" s="149"/>
      <c r="CJ9" s="149"/>
      <c r="CK9" s="149"/>
      <c r="CL9" s="149"/>
      <c r="CM9" s="149"/>
      <c r="CN9" s="149"/>
      <c r="CO9" s="149"/>
      <c r="CP9" s="149"/>
      <c r="CQ9" s="149"/>
      <c r="CR9" s="149"/>
      <c r="CS9" s="149"/>
      <c r="CT9" s="149"/>
      <c r="CU9" s="149"/>
      <c r="CV9" s="149"/>
      <c r="CW9" s="149"/>
      <c r="CX9" s="149"/>
      <c r="CY9" s="152"/>
      <c r="CZ9" s="149"/>
      <c r="DA9" s="149"/>
      <c r="DB9" s="149"/>
      <c r="DC9" s="149"/>
      <c r="DD9" s="149"/>
      <c r="DE9" s="149"/>
      <c r="DF9" s="149"/>
      <c r="DG9" s="149"/>
      <c r="DH9" s="149"/>
      <c r="DI9" s="149"/>
      <c r="DJ9" s="149"/>
      <c r="DK9" s="149"/>
      <c r="DL9" s="149"/>
      <c r="DM9" s="149"/>
      <c r="DN9" s="149"/>
      <c r="DO9" s="149"/>
      <c r="DP9" s="149"/>
      <c r="DQ9" s="149"/>
      <c r="DR9" s="149"/>
      <c r="DS9" s="149"/>
      <c r="DT9" s="149"/>
      <c r="DU9" s="149"/>
      <c r="DV9" s="149"/>
      <c r="DW9" s="149"/>
      <c r="DX9" s="149"/>
      <c r="DY9" s="149"/>
      <c r="DZ9" s="149"/>
      <c r="EA9" s="149"/>
      <c r="EB9" s="149"/>
      <c r="EC9" s="149"/>
      <c r="ED9" s="149"/>
      <c r="EE9" s="149"/>
      <c r="EF9" s="149"/>
      <c r="EG9" s="149"/>
      <c r="EH9" s="149"/>
      <c r="EI9" s="149"/>
      <c r="EJ9" s="149"/>
      <c r="EK9" s="149"/>
      <c r="EL9" s="149"/>
      <c r="EM9" s="149"/>
      <c r="EN9" s="149"/>
      <c r="EO9" s="149"/>
      <c r="EP9" s="149"/>
      <c r="EQ9" s="149"/>
      <c r="ER9" s="149"/>
      <c r="ES9" s="149"/>
      <c r="ET9" s="149"/>
      <c r="EU9" s="149"/>
      <c r="EV9" s="149"/>
      <c r="EW9" s="149"/>
      <c r="EX9" s="149"/>
      <c r="EY9" s="149"/>
      <c r="EZ9" s="149"/>
      <c r="FA9" s="149"/>
      <c r="FB9" s="149"/>
      <c r="FC9" s="149"/>
      <c r="FD9" s="149"/>
      <c r="FE9" s="149"/>
      <c r="FF9" s="149"/>
      <c r="FG9" s="149"/>
      <c r="FH9" s="149"/>
      <c r="FI9" s="149"/>
      <c r="FJ9" s="149"/>
      <c r="FK9" s="149"/>
      <c r="FL9" s="149"/>
      <c r="FM9" s="149"/>
      <c r="FN9" s="149"/>
      <c r="FO9" s="149"/>
      <c r="FP9" s="149"/>
      <c r="FQ9" s="149"/>
      <c r="FR9" s="149"/>
      <c r="FS9" s="149"/>
      <c r="FT9" s="149"/>
      <c r="FU9" s="149"/>
      <c r="FV9" s="149"/>
      <c r="FW9" s="149"/>
      <c r="FX9" s="149"/>
      <c r="FY9" s="149"/>
      <c r="FZ9" s="149"/>
      <c r="GA9" s="149"/>
      <c r="GB9" s="149"/>
      <c r="GC9" s="149"/>
      <c r="GD9" s="149"/>
      <c r="GE9" s="149"/>
    </row>
    <row r="10" spans="1:187">
      <c r="A10" s="147" t="s">
        <v>46</v>
      </c>
      <c r="B10" s="149" t="s">
        <v>2002</v>
      </c>
      <c r="C10" s="149" t="str">
        <f t="shared" si="0"/>
        <v>005374</v>
      </c>
      <c r="D10" s="155" t="s">
        <v>1997</v>
      </c>
      <c r="E10" s="149"/>
      <c r="F10" s="150" t="s">
        <v>497</v>
      </c>
      <c r="G10" s="149">
        <v>1</v>
      </c>
      <c r="H10" s="149"/>
      <c r="I10" s="149" t="s">
        <v>1998</v>
      </c>
      <c r="J10" s="149">
        <v>1</v>
      </c>
      <c r="K10" s="149"/>
      <c r="L10" s="149">
        <v>1964</v>
      </c>
      <c r="M10" s="150" t="s">
        <v>490</v>
      </c>
      <c r="N10" s="151">
        <v>100574726</v>
      </c>
      <c r="O10" s="149"/>
      <c r="P10" s="149"/>
      <c r="Q10" s="149"/>
      <c r="R10" s="149"/>
      <c r="S10" s="149" t="s">
        <v>1999</v>
      </c>
      <c r="T10" s="149" t="str">
        <f>VLOOKUP(U10,MaXa_3cap_2cap!$B$2:$C$369,2,0)</f>
        <v>06910</v>
      </c>
      <c r="U10" s="149" t="s">
        <v>1776</v>
      </c>
      <c r="V10" s="149" t="s">
        <v>2000</v>
      </c>
      <c r="W10" s="149"/>
      <c r="X10" s="149"/>
      <c r="Y10" s="150" t="s">
        <v>1777</v>
      </c>
      <c r="Z10" s="149" t="s">
        <v>2001</v>
      </c>
      <c r="AA10" s="149">
        <v>0</v>
      </c>
      <c r="AB10" s="149"/>
      <c r="AC10" s="149">
        <v>1966</v>
      </c>
      <c r="AD10" s="149" t="s">
        <v>490</v>
      </c>
      <c r="AE10" s="149">
        <v>100691620</v>
      </c>
      <c r="AF10" s="149"/>
      <c r="AG10" s="149"/>
      <c r="AH10" s="149"/>
      <c r="AI10" s="149"/>
      <c r="AJ10" s="149" t="s">
        <v>1999</v>
      </c>
      <c r="AK10" s="149" t="str">
        <f>VLOOKUP(AL10,MaXa_3cap_2cap!$B$2:$C$369,2,0)</f>
        <v>06910</v>
      </c>
      <c r="AL10" s="149" t="s">
        <v>1776</v>
      </c>
      <c r="AM10" s="149" t="s">
        <v>2000</v>
      </c>
      <c r="AN10" s="149"/>
      <c r="AO10" s="149"/>
      <c r="AP10" s="149" t="s">
        <v>1777</v>
      </c>
      <c r="AQ10" s="149">
        <v>130</v>
      </c>
      <c r="AR10" s="149">
        <v>41</v>
      </c>
      <c r="AS10" s="149">
        <v>1000</v>
      </c>
      <c r="AT10" s="149"/>
      <c r="AU10" s="149" t="str">
        <f>VLOOKUP(CP10,'TT DO DAC'!$B$2:$G$213,5,0)</f>
        <v>Chi nhánh xí nghiệp tài nguyên và môi trường 7</v>
      </c>
      <c r="AV10" s="149"/>
      <c r="AW10" s="149"/>
      <c r="AX10" s="152">
        <f>VLOOKUP(CP10,'TT DO DAC'!$B$2:$G$213,6,0)</f>
        <v>41274</v>
      </c>
      <c r="AY10" s="150" t="s">
        <v>1852</v>
      </c>
      <c r="AZ10" s="149"/>
      <c r="BA10" s="149"/>
      <c r="BB10" s="149" t="s">
        <v>1028</v>
      </c>
      <c r="BC10" s="153" t="str">
        <f>VLOOKUP(BB10,DM_LoaiDat!$B$2:$C$78,2,0)</f>
        <v xml:space="preserve">LUC </v>
      </c>
      <c r="BD10" s="149" t="str">
        <f t="shared" ref="BD10:BD48" si="2">BC10</f>
        <v xml:space="preserve">LUC </v>
      </c>
      <c r="BE10" s="151">
        <v>459.1</v>
      </c>
      <c r="BF10" s="150">
        <v>0</v>
      </c>
      <c r="BG10" s="149" t="s">
        <v>2003</v>
      </c>
      <c r="BH10" s="149"/>
      <c r="BI10" s="149" t="s">
        <v>204</v>
      </c>
      <c r="BJ10" s="149" t="str">
        <f>VLOOKUP(BI10,DM_NguonGocSuDungDat!$A$2:$B$24,2,0)</f>
        <v>Nhà nước giao đất không thu tiền sử dụng đất</v>
      </c>
      <c r="BK10" s="149"/>
      <c r="BL10" s="149"/>
      <c r="BM10" s="149"/>
      <c r="BN10" s="149"/>
      <c r="BO10" s="149"/>
      <c r="BP10" s="149"/>
      <c r="BQ10" s="149"/>
      <c r="BR10" s="149"/>
      <c r="BS10" s="149"/>
      <c r="BT10" s="149"/>
      <c r="BU10" s="149"/>
      <c r="BV10" s="149"/>
      <c r="BW10" s="149"/>
      <c r="BX10" s="149"/>
      <c r="BY10" s="149"/>
      <c r="BZ10" s="149"/>
      <c r="CA10" s="149"/>
      <c r="CB10" s="149"/>
      <c r="CC10" s="149"/>
      <c r="CD10" s="149"/>
      <c r="CE10" s="149"/>
      <c r="CF10" s="149"/>
      <c r="CG10" s="149"/>
      <c r="CH10" s="149"/>
      <c r="CI10" s="149"/>
      <c r="CJ10" s="149"/>
      <c r="CK10" s="149"/>
      <c r="CL10" s="149"/>
      <c r="CM10" s="149"/>
      <c r="CN10" s="149"/>
      <c r="CO10" s="149"/>
      <c r="CP10" s="149" t="s">
        <v>1776</v>
      </c>
      <c r="CQ10" s="149" t="s">
        <v>2000</v>
      </c>
      <c r="CR10" s="149"/>
      <c r="CS10" s="149"/>
      <c r="CT10" s="149">
        <v>0</v>
      </c>
      <c r="CU10" s="149"/>
      <c r="CV10" s="149" t="s">
        <v>424</v>
      </c>
      <c r="CW10" s="149" t="s">
        <v>2006</v>
      </c>
      <c r="CX10" s="149"/>
      <c r="CY10" s="149" t="s">
        <v>2007</v>
      </c>
      <c r="CZ10" s="149" t="s">
        <v>1780</v>
      </c>
      <c r="DA10" s="149">
        <v>0</v>
      </c>
      <c r="DB10" s="149">
        <v>1</v>
      </c>
      <c r="DC10" s="149">
        <v>2021</v>
      </c>
      <c r="DD10" s="149"/>
      <c r="DE10" s="149"/>
      <c r="DF10" s="149"/>
      <c r="DG10" s="149"/>
      <c r="DH10" s="149"/>
      <c r="DI10" s="149"/>
      <c r="DJ10" s="149"/>
      <c r="DK10" s="149"/>
      <c r="DL10" s="149"/>
      <c r="DM10" s="149"/>
      <c r="DN10" s="149"/>
      <c r="DO10" s="149"/>
      <c r="DP10" s="149"/>
      <c r="DQ10" s="149"/>
      <c r="DR10" s="149"/>
      <c r="DS10" s="149"/>
      <c r="DT10" s="149"/>
      <c r="DU10" s="149"/>
      <c r="DV10" s="149"/>
      <c r="DW10" s="149"/>
      <c r="DX10" s="149"/>
      <c r="DY10" s="149"/>
      <c r="DZ10" s="149"/>
      <c r="EA10" s="149"/>
      <c r="EB10" s="149"/>
      <c r="EC10" s="149"/>
      <c r="ED10" s="149"/>
      <c r="EE10" s="149"/>
      <c r="EF10" s="149"/>
      <c r="EG10" s="149"/>
      <c r="EH10" s="149"/>
      <c r="EI10" s="149"/>
      <c r="EJ10" s="149"/>
      <c r="EK10" s="149"/>
      <c r="EL10" s="149"/>
      <c r="EM10" s="149"/>
      <c r="EN10" s="149"/>
      <c r="EO10" s="149"/>
      <c r="EP10" s="149"/>
      <c r="EQ10" s="149"/>
      <c r="ER10" s="149"/>
      <c r="ES10" s="149"/>
      <c r="ET10" s="149"/>
      <c r="EU10" s="149"/>
      <c r="EV10" s="149"/>
      <c r="EW10" s="149"/>
      <c r="EX10" s="149"/>
      <c r="EY10" s="149"/>
      <c r="EZ10" s="149"/>
      <c r="FA10" s="149"/>
      <c r="FB10" s="149"/>
      <c r="FC10" s="149"/>
      <c r="FD10" s="149"/>
      <c r="FE10" s="149"/>
      <c r="FF10" s="149"/>
      <c r="FG10" s="149"/>
      <c r="FH10" s="149"/>
      <c r="FI10" s="149"/>
      <c r="FJ10" s="149"/>
      <c r="FK10" s="149"/>
      <c r="FL10" s="149"/>
      <c r="FM10" s="149"/>
      <c r="FN10" s="149"/>
      <c r="FO10" s="149"/>
      <c r="FP10" s="149"/>
      <c r="FQ10" s="149"/>
      <c r="FR10" s="149"/>
      <c r="FS10" s="149"/>
      <c r="FT10" s="149"/>
      <c r="FU10" s="149"/>
      <c r="FV10" s="149"/>
      <c r="FW10" s="149"/>
      <c r="FX10" s="149"/>
      <c r="FY10" s="149"/>
      <c r="FZ10" s="149"/>
      <c r="GA10" s="149"/>
      <c r="GB10" s="149" t="s">
        <v>2002</v>
      </c>
      <c r="GC10" s="149"/>
      <c r="GD10" s="149"/>
      <c r="GE10" s="149"/>
    </row>
    <row r="11" spans="1:187">
      <c r="A11" s="147" t="s">
        <v>47</v>
      </c>
      <c r="B11" s="149" t="s">
        <v>2002</v>
      </c>
      <c r="C11" s="149" t="str">
        <f t="shared" si="0"/>
        <v>005374</v>
      </c>
      <c r="D11" s="155" t="s">
        <v>1997</v>
      </c>
      <c r="E11" s="149"/>
      <c r="F11" s="150" t="s">
        <v>497</v>
      </c>
      <c r="G11" s="149">
        <v>1</v>
      </c>
      <c r="H11" s="149"/>
      <c r="I11" s="149" t="s">
        <v>1998</v>
      </c>
      <c r="J11" s="149">
        <v>1</v>
      </c>
      <c r="K11" s="149"/>
      <c r="L11" s="149">
        <v>1964</v>
      </c>
      <c r="M11" s="150" t="s">
        <v>490</v>
      </c>
      <c r="N11" s="151">
        <v>100574726</v>
      </c>
      <c r="O11" s="149"/>
      <c r="P11" s="149"/>
      <c r="Q11" s="149"/>
      <c r="R11" s="149"/>
      <c r="S11" s="149" t="s">
        <v>1999</v>
      </c>
      <c r="T11" s="149" t="str">
        <f>VLOOKUP(U11,MaXa_3cap_2cap!$B$2:$C$369,2,0)</f>
        <v>06910</v>
      </c>
      <c r="U11" s="149" t="s">
        <v>1776</v>
      </c>
      <c r="V11" s="149" t="s">
        <v>2000</v>
      </c>
      <c r="W11" s="149"/>
      <c r="X11" s="149"/>
      <c r="Y11" s="150" t="s">
        <v>1777</v>
      </c>
      <c r="Z11" s="149" t="s">
        <v>2001</v>
      </c>
      <c r="AA11" s="149">
        <v>0</v>
      </c>
      <c r="AB11" s="149"/>
      <c r="AC11" s="149">
        <v>1966</v>
      </c>
      <c r="AD11" s="149" t="s">
        <v>490</v>
      </c>
      <c r="AE11" s="149">
        <v>100691620</v>
      </c>
      <c r="AF11" s="149"/>
      <c r="AG11" s="149"/>
      <c r="AH11" s="149"/>
      <c r="AI11" s="149"/>
      <c r="AJ11" s="149" t="s">
        <v>1999</v>
      </c>
      <c r="AK11" s="149" t="str">
        <f>VLOOKUP(AL11,MaXa_3cap_2cap!$B$2:$C$369,2,0)</f>
        <v>06910</v>
      </c>
      <c r="AL11" s="149" t="s">
        <v>1776</v>
      </c>
      <c r="AM11" s="149" t="s">
        <v>2000</v>
      </c>
      <c r="AN11" s="149"/>
      <c r="AO11" s="149"/>
      <c r="AP11" s="149" t="s">
        <v>1777</v>
      </c>
      <c r="AQ11" s="149">
        <v>112</v>
      </c>
      <c r="AR11" s="149">
        <v>40</v>
      </c>
      <c r="AS11" s="149">
        <v>1000</v>
      </c>
      <c r="AT11" s="149"/>
      <c r="AU11" s="149" t="str">
        <f>VLOOKUP(CP11,'TT DO DAC'!$B$2:$G$213,5,0)</f>
        <v>Chi nhánh xí nghiệp tài nguyên và môi trường 7</v>
      </c>
      <c r="AV11" s="149"/>
      <c r="AW11" s="149"/>
      <c r="AX11" s="152">
        <f>VLOOKUP(CP11,'TT DO DAC'!$B$2:$G$213,6,0)</f>
        <v>41274</v>
      </c>
      <c r="AY11" s="150" t="s">
        <v>1852</v>
      </c>
      <c r="AZ11" s="149"/>
      <c r="BA11" s="149"/>
      <c r="BB11" s="149" t="s">
        <v>1029</v>
      </c>
      <c r="BC11" s="153" t="str">
        <f>VLOOKUP(BB11,DM_LoaiDat!$B$2:$C$78,2,0)</f>
        <v xml:space="preserve">LUK </v>
      </c>
      <c r="BD11" s="149" t="str">
        <f t="shared" si="2"/>
        <v xml:space="preserve">LUK </v>
      </c>
      <c r="BE11" s="151">
        <v>620.79999999999995</v>
      </c>
      <c r="BF11" s="150">
        <v>0</v>
      </c>
      <c r="BG11" s="149" t="s">
        <v>2003</v>
      </c>
      <c r="BH11" s="149"/>
      <c r="BI11" s="149" t="s">
        <v>204</v>
      </c>
      <c r="BJ11" s="149" t="str">
        <f>VLOOKUP(BI11,DM_NguonGocSuDungDat!$A$2:$B$24,2,0)</f>
        <v>Nhà nước giao đất không thu tiền sử dụng đất</v>
      </c>
      <c r="BK11" s="149"/>
      <c r="BL11" s="149"/>
      <c r="BM11" s="149"/>
      <c r="BN11" s="149"/>
      <c r="BO11" s="149"/>
      <c r="BP11" s="149"/>
      <c r="BQ11" s="149"/>
      <c r="BR11" s="149"/>
      <c r="BS11" s="149"/>
      <c r="BT11" s="149"/>
      <c r="BU11" s="149"/>
      <c r="BV11" s="149"/>
      <c r="BW11" s="149"/>
      <c r="BX11" s="149"/>
      <c r="BY11" s="149"/>
      <c r="BZ11" s="149"/>
      <c r="CA11" s="149"/>
      <c r="CB11" s="149"/>
      <c r="CC11" s="149"/>
      <c r="CD11" s="149"/>
      <c r="CE11" s="149"/>
      <c r="CF11" s="149"/>
      <c r="CG11" s="149"/>
      <c r="CH11" s="149"/>
      <c r="CI11" s="149"/>
      <c r="CJ11" s="149"/>
      <c r="CK11" s="149"/>
      <c r="CL11" s="149"/>
      <c r="CM11" s="149"/>
      <c r="CN11" s="149"/>
      <c r="CO11" s="149"/>
      <c r="CP11" s="149" t="s">
        <v>1776</v>
      </c>
      <c r="CQ11" s="149" t="s">
        <v>2000</v>
      </c>
      <c r="CR11" s="149"/>
      <c r="CS11" s="149"/>
      <c r="CT11" s="149">
        <v>0</v>
      </c>
      <c r="CU11" s="149"/>
      <c r="CV11" s="149" t="s">
        <v>424</v>
      </c>
      <c r="CW11" s="149" t="s">
        <v>2006</v>
      </c>
      <c r="CX11" s="149"/>
      <c r="CY11" s="149" t="s">
        <v>2007</v>
      </c>
      <c r="CZ11" s="149" t="s">
        <v>1780</v>
      </c>
      <c r="DA11" s="149">
        <v>0</v>
      </c>
      <c r="DB11" s="149">
        <v>1</v>
      </c>
      <c r="DC11" s="149">
        <v>2021</v>
      </c>
      <c r="DD11" s="149"/>
      <c r="DE11" s="149"/>
      <c r="DF11" s="149"/>
      <c r="DG11" s="149"/>
      <c r="DH11" s="149"/>
      <c r="DI11" s="149"/>
      <c r="DJ11" s="149"/>
      <c r="DK11" s="149"/>
      <c r="DL11" s="149"/>
      <c r="DM11" s="149"/>
      <c r="DN11" s="149"/>
      <c r="DO11" s="149"/>
      <c r="DP11" s="149"/>
      <c r="DQ11" s="149"/>
      <c r="DR11" s="149"/>
      <c r="DS11" s="149"/>
      <c r="DT11" s="149"/>
      <c r="DU11" s="149"/>
      <c r="DV11" s="149"/>
      <c r="DW11" s="149"/>
      <c r="DX11" s="149"/>
      <c r="DY11" s="149"/>
      <c r="DZ11" s="149"/>
      <c r="EA11" s="149"/>
      <c r="EB11" s="149"/>
      <c r="EC11" s="149"/>
      <c r="ED11" s="149"/>
      <c r="EE11" s="149"/>
      <c r="EF11" s="149"/>
      <c r="EG11" s="149"/>
      <c r="EH11" s="149"/>
      <c r="EI11" s="149"/>
      <c r="EJ11" s="149"/>
      <c r="EK11" s="149"/>
      <c r="EL11" s="149"/>
      <c r="EM11" s="149"/>
      <c r="EN11" s="149"/>
      <c r="EO11" s="149"/>
      <c r="EP11" s="149"/>
      <c r="EQ11" s="149"/>
      <c r="ER11" s="149"/>
      <c r="ES11" s="149"/>
      <c r="ET11" s="149"/>
      <c r="EU11" s="149"/>
      <c r="EV11" s="149"/>
      <c r="EW11" s="149"/>
      <c r="EX11" s="149"/>
      <c r="EY11" s="149"/>
      <c r="EZ11" s="149"/>
      <c r="FA11" s="149"/>
      <c r="FB11" s="149"/>
      <c r="FC11" s="149"/>
      <c r="FD11" s="149"/>
      <c r="FE11" s="149"/>
      <c r="FF11" s="149"/>
      <c r="FG11" s="149"/>
      <c r="FH11" s="149"/>
      <c r="FI11" s="149"/>
      <c r="FJ11" s="149"/>
      <c r="FK11" s="149"/>
      <c r="FL11" s="149"/>
      <c r="FM11" s="149"/>
      <c r="FN11" s="149"/>
      <c r="FO11" s="149"/>
      <c r="FP11" s="149"/>
      <c r="FQ11" s="149"/>
      <c r="FR11" s="149"/>
      <c r="FS11" s="149"/>
      <c r="FT11" s="149"/>
      <c r="FU11" s="149"/>
      <c r="FV11" s="149"/>
      <c r="FW11" s="149"/>
      <c r="FX11" s="149"/>
      <c r="FY11" s="149"/>
      <c r="FZ11" s="149"/>
      <c r="GA11" s="149"/>
      <c r="GB11" s="149" t="s">
        <v>2008</v>
      </c>
      <c r="GC11" s="149"/>
      <c r="GD11" s="149"/>
      <c r="GE11" s="149"/>
    </row>
    <row r="12" spans="1:187">
      <c r="A12" s="147" t="s">
        <v>48</v>
      </c>
      <c r="B12" s="149" t="s">
        <v>2002</v>
      </c>
      <c r="C12" s="149" t="str">
        <f t="shared" si="0"/>
        <v>005374</v>
      </c>
      <c r="D12" s="155" t="s">
        <v>1997</v>
      </c>
      <c r="E12" s="149"/>
      <c r="F12" s="150" t="s">
        <v>497</v>
      </c>
      <c r="G12" s="149">
        <v>1</v>
      </c>
      <c r="H12" s="149"/>
      <c r="I12" s="149" t="s">
        <v>1998</v>
      </c>
      <c r="J12" s="149">
        <v>1</v>
      </c>
      <c r="K12" s="149"/>
      <c r="L12" s="149">
        <v>1964</v>
      </c>
      <c r="M12" s="150" t="s">
        <v>490</v>
      </c>
      <c r="N12" s="151">
        <v>100574726</v>
      </c>
      <c r="O12" s="149"/>
      <c r="P12" s="149"/>
      <c r="Q12" s="149"/>
      <c r="R12" s="149"/>
      <c r="S12" s="149" t="s">
        <v>1999</v>
      </c>
      <c r="T12" s="149" t="str">
        <f>VLOOKUP(U12,MaXa_3cap_2cap!$B$2:$C$369,2,0)</f>
        <v>06910</v>
      </c>
      <c r="U12" s="149" t="s">
        <v>1776</v>
      </c>
      <c r="V12" s="149" t="s">
        <v>2000</v>
      </c>
      <c r="W12" s="149"/>
      <c r="X12" s="149"/>
      <c r="Y12" s="150" t="s">
        <v>1777</v>
      </c>
      <c r="Z12" s="149" t="s">
        <v>2001</v>
      </c>
      <c r="AA12" s="149">
        <v>0</v>
      </c>
      <c r="AB12" s="149"/>
      <c r="AC12" s="149">
        <v>1966</v>
      </c>
      <c r="AD12" s="149" t="s">
        <v>490</v>
      </c>
      <c r="AE12" s="149">
        <v>100691620</v>
      </c>
      <c r="AF12" s="149"/>
      <c r="AG12" s="149"/>
      <c r="AH12" s="149"/>
      <c r="AI12" s="149"/>
      <c r="AJ12" s="149" t="s">
        <v>1999</v>
      </c>
      <c r="AK12" s="149" t="str">
        <f>VLOOKUP(AL12,MaXa_3cap_2cap!$B$2:$C$369,2,0)</f>
        <v>06910</v>
      </c>
      <c r="AL12" s="149" t="s">
        <v>1776</v>
      </c>
      <c r="AM12" s="149" t="s">
        <v>2000</v>
      </c>
      <c r="AN12" s="149"/>
      <c r="AO12" s="149"/>
      <c r="AP12" s="149" t="s">
        <v>1777</v>
      </c>
      <c r="AQ12" s="149">
        <v>97</v>
      </c>
      <c r="AR12" s="149">
        <v>40</v>
      </c>
      <c r="AS12" s="149">
        <v>1000</v>
      </c>
      <c r="AT12" s="149"/>
      <c r="AU12" s="149" t="str">
        <f>VLOOKUP(CP12,'TT DO DAC'!$B$2:$G$213,5,0)</f>
        <v>Chi nhánh xí nghiệp tài nguyên và môi trường 7</v>
      </c>
      <c r="AV12" s="149"/>
      <c r="AW12" s="149"/>
      <c r="AX12" s="152">
        <f>VLOOKUP(CP12,'TT DO DAC'!$B$2:$G$213,6,0)</f>
        <v>41274</v>
      </c>
      <c r="AY12" s="150" t="s">
        <v>1852</v>
      </c>
      <c r="AZ12" s="149"/>
      <c r="BA12" s="149"/>
      <c r="BB12" s="149" t="s">
        <v>1029</v>
      </c>
      <c r="BC12" s="153" t="str">
        <f>VLOOKUP(BB12,DM_LoaiDat!$B$2:$C$78,2,0)</f>
        <v xml:space="preserve">LUK </v>
      </c>
      <c r="BD12" s="149" t="str">
        <f t="shared" si="2"/>
        <v xml:space="preserve">LUK </v>
      </c>
      <c r="BE12" s="151">
        <v>164.9</v>
      </c>
      <c r="BF12" s="150">
        <v>0</v>
      </c>
      <c r="BG12" s="149" t="s">
        <v>2003</v>
      </c>
      <c r="BH12" s="149"/>
      <c r="BI12" s="149" t="s">
        <v>204</v>
      </c>
      <c r="BJ12" s="149" t="str">
        <f>VLOOKUP(BI12,DM_NguonGocSuDungDat!$A$2:$B$24,2,0)</f>
        <v>Nhà nước giao đất không thu tiền sử dụng đất</v>
      </c>
      <c r="BK12" s="149"/>
      <c r="BL12" s="149"/>
      <c r="BM12" s="149"/>
      <c r="BN12" s="149"/>
      <c r="BO12" s="149"/>
      <c r="BP12" s="149"/>
      <c r="BQ12" s="149"/>
      <c r="BR12" s="149"/>
      <c r="BS12" s="149"/>
      <c r="BT12" s="149"/>
      <c r="BU12" s="149"/>
      <c r="BV12" s="149"/>
      <c r="BW12" s="149"/>
      <c r="BX12" s="149"/>
      <c r="BY12" s="149"/>
      <c r="BZ12" s="149"/>
      <c r="CA12" s="149"/>
      <c r="CB12" s="149"/>
      <c r="CC12" s="149"/>
      <c r="CD12" s="149"/>
      <c r="CE12" s="149"/>
      <c r="CF12" s="149"/>
      <c r="CG12" s="149"/>
      <c r="CH12" s="149"/>
      <c r="CI12" s="149"/>
      <c r="CJ12" s="149"/>
      <c r="CK12" s="149"/>
      <c r="CL12" s="149"/>
      <c r="CM12" s="149"/>
      <c r="CN12" s="149"/>
      <c r="CO12" s="149"/>
      <c r="CP12" s="149" t="s">
        <v>1776</v>
      </c>
      <c r="CQ12" s="149" t="s">
        <v>2000</v>
      </c>
      <c r="CR12" s="149"/>
      <c r="CS12" s="149"/>
      <c r="CT12" s="149">
        <v>0</v>
      </c>
      <c r="CU12" s="149"/>
      <c r="CV12" s="149" t="s">
        <v>424</v>
      </c>
      <c r="CW12" s="149" t="s">
        <v>2006</v>
      </c>
      <c r="CX12" s="149"/>
      <c r="CY12" s="149" t="s">
        <v>2007</v>
      </c>
      <c r="CZ12" s="149" t="s">
        <v>1780</v>
      </c>
      <c r="DA12" s="149">
        <v>0</v>
      </c>
      <c r="DB12" s="149">
        <v>1</v>
      </c>
      <c r="DC12" s="149">
        <v>2021</v>
      </c>
      <c r="DD12" s="149"/>
      <c r="DE12" s="149"/>
      <c r="DF12" s="149"/>
      <c r="DG12" s="149"/>
      <c r="DH12" s="149"/>
      <c r="DI12" s="149"/>
      <c r="DJ12" s="149"/>
      <c r="DK12" s="149"/>
      <c r="DL12" s="149"/>
      <c r="DM12" s="149"/>
      <c r="DN12" s="149"/>
      <c r="DO12" s="149"/>
      <c r="DP12" s="149"/>
      <c r="DQ12" s="149"/>
      <c r="DR12" s="149"/>
      <c r="DS12" s="149"/>
      <c r="DT12" s="149"/>
      <c r="DU12" s="149"/>
      <c r="DV12" s="149"/>
      <c r="DW12" s="149"/>
      <c r="DX12" s="149"/>
      <c r="DY12" s="149"/>
      <c r="DZ12" s="149"/>
      <c r="EA12" s="149"/>
      <c r="EB12" s="149"/>
      <c r="EC12" s="149"/>
      <c r="ED12" s="149"/>
      <c r="EE12" s="149"/>
      <c r="EF12" s="149"/>
      <c r="EG12" s="149"/>
      <c r="EH12" s="149"/>
      <c r="EI12" s="149"/>
      <c r="EJ12" s="149"/>
      <c r="EK12" s="149"/>
      <c r="EL12" s="149"/>
      <c r="EM12" s="149"/>
      <c r="EN12" s="149"/>
      <c r="EO12" s="149"/>
      <c r="EP12" s="149"/>
      <c r="EQ12" s="149"/>
      <c r="ER12" s="149"/>
      <c r="ES12" s="149"/>
      <c r="ET12" s="149"/>
      <c r="EU12" s="149"/>
      <c r="EV12" s="149"/>
      <c r="EW12" s="149"/>
      <c r="EX12" s="149"/>
      <c r="EY12" s="149"/>
      <c r="EZ12" s="149"/>
      <c r="FA12" s="149"/>
      <c r="FB12" s="149"/>
      <c r="FC12" s="149"/>
      <c r="FD12" s="149"/>
      <c r="FE12" s="149"/>
      <c r="FF12" s="149"/>
      <c r="FG12" s="149"/>
      <c r="FH12" s="149"/>
      <c r="FI12" s="149"/>
      <c r="FJ12" s="149"/>
      <c r="FK12" s="149"/>
      <c r="FL12" s="149"/>
      <c r="FM12" s="149"/>
      <c r="FN12" s="149"/>
      <c r="FO12" s="149"/>
      <c r="FP12" s="149"/>
      <c r="FQ12" s="149"/>
      <c r="FR12" s="149"/>
      <c r="FS12" s="149"/>
      <c r="FT12" s="149"/>
      <c r="FU12" s="149"/>
      <c r="FV12" s="149"/>
      <c r="FW12" s="149"/>
      <c r="FX12" s="149"/>
      <c r="FY12" s="149"/>
      <c r="FZ12" s="149"/>
      <c r="GA12" s="149"/>
      <c r="GB12" s="149" t="s">
        <v>2009</v>
      </c>
      <c r="GC12" s="149"/>
      <c r="GD12" s="149"/>
      <c r="GE12" s="149"/>
    </row>
    <row r="13" spans="1:187">
      <c r="A13" s="147" t="s">
        <v>49</v>
      </c>
      <c r="B13" s="149" t="s">
        <v>2002</v>
      </c>
      <c r="C13" s="149" t="str">
        <f t="shared" si="0"/>
        <v>005374</v>
      </c>
      <c r="D13" s="155" t="s">
        <v>1997</v>
      </c>
      <c r="E13" s="149"/>
      <c r="F13" s="150" t="s">
        <v>497</v>
      </c>
      <c r="G13" s="149">
        <v>1</v>
      </c>
      <c r="H13" s="149"/>
      <c r="I13" s="149" t="s">
        <v>1998</v>
      </c>
      <c r="J13" s="149">
        <v>1</v>
      </c>
      <c r="K13" s="149"/>
      <c r="L13" s="149">
        <v>1964</v>
      </c>
      <c r="M13" s="150" t="s">
        <v>490</v>
      </c>
      <c r="N13" s="151">
        <v>100574726</v>
      </c>
      <c r="O13" s="149"/>
      <c r="P13" s="149"/>
      <c r="Q13" s="149"/>
      <c r="R13" s="149"/>
      <c r="S13" s="149" t="s">
        <v>1999</v>
      </c>
      <c r="T13" s="149" t="str">
        <f>VLOOKUP(U13,MaXa_3cap_2cap!$B$2:$C$369,2,0)</f>
        <v>06910</v>
      </c>
      <c r="U13" s="149" t="s">
        <v>1776</v>
      </c>
      <c r="V13" s="149" t="s">
        <v>2000</v>
      </c>
      <c r="W13" s="149"/>
      <c r="X13" s="149"/>
      <c r="Y13" s="150" t="s">
        <v>1777</v>
      </c>
      <c r="Z13" s="149" t="s">
        <v>2001</v>
      </c>
      <c r="AA13" s="149">
        <v>0</v>
      </c>
      <c r="AB13" s="149"/>
      <c r="AC13" s="149">
        <v>1966</v>
      </c>
      <c r="AD13" s="149" t="s">
        <v>490</v>
      </c>
      <c r="AE13" s="149">
        <v>100691620</v>
      </c>
      <c r="AF13" s="149"/>
      <c r="AG13" s="149"/>
      <c r="AH13" s="149"/>
      <c r="AI13" s="149"/>
      <c r="AJ13" s="149" t="s">
        <v>1999</v>
      </c>
      <c r="AK13" s="149" t="str">
        <f>VLOOKUP(AL13,MaXa_3cap_2cap!$B$2:$C$369,2,0)</f>
        <v>06910</v>
      </c>
      <c r="AL13" s="149" t="s">
        <v>1776</v>
      </c>
      <c r="AM13" s="149" t="s">
        <v>2000</v>
      </c>
      <c r="AN13" s="149"/>
      <c r="AO13" s="149"/>
      <c r="AP13" s="149" t="s">
        <v>1777</v>
      </c>
      <c r="AQ13" s="149">
        <v>77</v>
      </c>
      <c r="AR13" s="149">
        <v>40</v>
      </c>
      <c r="AS13" s="149">
        <v>1000</v>
      </c>
      <c r="AT13" s="149"/>
      <c r="AU13" s="149" t="str">
        <f>VLOOKUP(CP13,'TT DO DAC'!$B$2:$G$213,5,0)</f>
        <v>Chi nhánh xí nghiệp tài nguyên và môi trường 7</v>
      </c>
      <c r="AV13" s="149"/>
      <c r="AW13" s="149"/>
      <c r="AX13" s="152">
        <f>VLOOKUP(CP13,'TT DO DAC'!$B$2:$G$213,6,0)</f>
        <v>41274</v>
      </c>
      <c r="AY13" s="150" t="s">
        <v>1852</v>
      </c>
      <c r="AZ13" s="149"/>
      <c r="BA13" s="149"/>
      <c r="BB13" s="149" t="s">
        <v>1028</v>
      </c>
      <c r="BC13" s="153" t="str">
        <f>VLOOKUP(BB13,DM_LoaiDat!$B$2:$C$78,2,0)</f>
        <v xml:space="preserve">LUC </v>
      </c>
      <c r="BD13" s="149" t="str">
        <f t="shared" si="2"/>
        <v xml:space="preserve">LUC </v>
      </c>
      <c r="BE13" s="151">
        <v>452.8</v>
      </c>
      <c r="BF13" s="150">
        <v>0</v>
      </c>
      <c r="BG13" s="149" t="s">
        <v>2003</v>
      </c>
      <c r="BH13" s="149"/>
      <c r="BI13" s="149" t="s">
        <v>204</v>
      </c>
      <c r="BJ13" s="149" t="str">
        <f>VLOOKUP(BI13,DM_NguonGocSuDungDat!$A$2:$B$24,2,0)</f>
        <v>Nhà nước giao đất không thu tiền sử dụng đất</v>
      </c>
      <c r="BK13" s="149"/>
      <c r="BL13" s="149"/>
      <c r="BM13" s="149"/>
      <c r="BN13" s="149"/>
      <c r="BO13" s="149"/>
      <c r="BP13" s="149"/>
      <c r="BQ13" s="149"/>
      <c r="BR13" s="149"/>
      <c r="BS13" s="149"/>
      <c r="BT13" s="149"/>
      <c r="BU13" s="149"/>
      <c r="BV13" s="149"/>
      <c r="BW13" s="149"/>
      <c r="BX13" s="149"/>
      <c r="BY13" s="149"/>
      <c r="BZ13" s="149"/>
      <c r="CA13" s="149"/>
      <c r="CB13" s="149"/>
      <c r="CC13" s="149"/>
      <c r="CD13" s="149"/>
      <c r="CE13" s="149"/>
      <c r="CF13" s="149"/>
      <c r="CG13" s="149"/>
      <c r="CH13" s="149"/>
      <c r="CI13" s="149"/>
      <c r="CJ13" s="149"/>
      <c r="CK13" s="149"/>
      <c r="CL13" s="149"/>
      <c r="CM13" s="149"/>
      <c r="CN13" s="149"/>
      <c r="CO13" s="149"/>
      <c r="CP13" s="149" t="s">
        <v>1776</v>
      </c>
      <c r="CQ13" s="149" t="s">
        <v>2000</v>
      </c>
      <c r="CR13" s="149"/>
      <c r="CS13" s="149"/>
      <c r="CT13" s="149">
        <v>0</v>
      </c>
      <c r="CU13" s="149"/>
      <c r="CV13" s="149" t="s">
        <v>424</v>
      </c>
      <c r="CW13" s="149" t="s">
        <v>2006</v>
      </c>
      <c r="CX13" s="149"/>
      <c r="CY13" s="149" t="s">
        <v>2007</v>
      </c>
      <c r="CZ13" s="149" t="s">
        <v>1780</v>
      </c>
      <c r="DA13" s="149">
        <v>0</v>
      </c>
      <c r="DB13" s="149">
        <v>1</v>
      </c>
      <c r="DC13" s="149">
        <v>2021</v>
      </c>
      <c r="DD13" s="149"/>
      <c r="DE13" s="149"/>
      <c r="DF13" s="149"/>
      <c r="DG13" s="149"/>
      <c r="DH13" s="149"/>
      <c r="DI13" s="149"/>
      <c r="DJ13" s="149"/>
      <c r="DK13" s="149"/>
      <c r="DL13" s="149"/>
      <c r="DM13" s="149"/>
      <c r="DN13" s="149"/>
      <c r="DO13" s="149"/>
      <c r="DP13" s="149"/>
      <c r="DQ13" s="149"/>
      <c r="DR13" s="149"/>
      <c r="DS13" s="149"/>
      <c r="DT13" s="149"/>
      <c r="DU13" s="149"/>
      <c r="DV13" s="149"/>
      <c r="DW13" s="149"/>
      <c r="DX13" s="149"/>
      <c r="DY13" s="149"/>
      <c r="DZ13" s="149"/>
      <c r="EA13" s="149"/>
      <c r="EB13" s="149"/>
      <c r="EC13" s="149"/>
      <c r="ED13" s="149"/>
      <c r="EE13" s="149"/>
      <c r="EF13" s="149"/>
      <c r="EG13" s="149"/>
      <c r="EH13" s="149"/>
      <c r="EI13" s="149"/>
      <c r="EJ13" s="149"/>
      <c r="EK13" s="149"/>
      <c r="EL13" s="149"/>
      <c r="EM13" s="149"/>
      <c r="EN13" s="149"/>
      <c r="EO13" s="149"/>
      <c r="EP13" s="149"/>
      <c r="EQ13" s="149"/>
      <c r="ER13" s="149"/>
      <c r="ES13" s="149"/>
      <c r="ET13" s="149"/>
      <c r="EU13" s="149"/>
      <c r="EV13" s="149"/>
      <c r="EW13" s="149"/>
      <c r="EX13" s="149"/>
      <c r="EY13" s="149"/>
      <c r="EZ13" s="149"/>
      <c r="FA13" s="149"/>
      <c r="FB13" s="149"/>
      <c r="FC13" s="149"/>
      <c r="FD13" s="149"/>
      <c r="FE13" s="149"/>
      <c r="FF13" s="149"/>
      <c r="FG13" s="149"/>
      <c r="FH13" s="149"/>
      <c r="FI13" s="149"/>
      <c r="FJ13" s="149"/>
      <c r="FK13" s="149"/>
      <c r="FL13" s="149"/>
      <c r="FM13" s="149"/>
      <c r="FN13" s="149"/>
      <c r="FO13" s="149"/>
      <c r="FP13" s="149"/>
      <c r="FQ13" s="149"/>
      <c r="FR13" s="149"/>
      <c r="FS13" s="149"/>
      <c r="FT13" s="149"/>
      <c r="FU13" s="149"/>
      <c r="FV13" s="149"/>
      <c r="FW13" s="149"/>
      <c r="FX13" s="149"/>
      <c r="FY13" s="149"/>
      <c r="FZ13" s="149"/>
      <c r="GA13" s="149"/>
      <c r="GB13" s="149" t="s">
        <v>2010</v>
      </c>
      <c r="GC13" s="149"/>
      <c r="GD13" s="149"/>
      <c r="GE13" s="149"/>
    </row>
    <row r="14" spans="1:187">
      <c r="A14" s="156">
        <v>0.61944444444444446</v>
      </c>
      <c r="B14" s="149"/>
      <c r="C14" s="149"/>
      <c r="D14" s="155"/>
      <c r="E14" s="149"/>
      <c r="F14" s="150"/>
      <c r="G14" s="149"/>
      <c r="H14" s="149"/>
      <c r="I14" s="149"/>
      <c r="J14" s="149"/>
      <c r="K14" s="149"/>
      <c r="L14" s="149"/>
      <c r="M14" s="150"/>
      <c r="N14" s="151"/>
      <c r="O14" s="149"/>
      <c r="P14" s="149"/>
      <c r="Q14" s="149"/>
      <c r="R14" s="149"/>
      <c r="S14" s="149"/>
      <c r="T14" s="149"/>
      <c r="U14" s="149"/>
      <c r="V14" s="149"/>
      <c r="W14" s="149"/>
      <c r="X14" s="149"/>
      <c r="Y14" s="150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49"/>
      <c r="AO14" s="149"/>
      <c r="AP14" s="149"/>
      <c r="AQ14" s="149"/>
      <c r="AR14" s="149"/>
      <c r="AS14" s="149"/>
      <c r="AT14" s="149"/>
      <c r="AU14" s="149"/>
      <c r="AV14" s="149"/>
      <c r="AW14" s="149"/>
      <c r="AX14" s="152"/>
      <c r="AY14" s="150"/>
      <c r="AZ14" s="149"/>
      <c r="BA14" s="149"/>
      <c r="BB14" s="149"/>
      <c r="BC14" s="153"/>
      <c r="BD14" s="149"/>
      <c r="BE14" s="151"/>
      <c r="BF14" s="150"/>
      <c r="BG14" s="149"/>
      <c r="BH14" s="149"/>
      <c r="BI14" s="149"/>
      <c r="BJ14" s="149"/>
      <c r="BK14" s="149"/>
      <c r="BL14" s="149"/>
      <c r="BM14" s="149"/>
      <c r="BN14" s="149"/>
      <c r="BO14" s="149"/>
      <c r="BP14" s="149"/>
      <c r="BQ14" s="149"/>
      <c r="BR14" s="149"/>
      <c r="BS14" s="149"/>
      <c r="BT14" s="149"/>
      <c r="BU14" s="149"/>
      <c r="BV14" s="149"/>
      <c r="BW14" s="149"/>
      <c r="BX14" s="149"/>
      <c r="BY14" s="149"/>
      <c r="BZ14" s="149"/>
      <c r="CA14" s="149"/>
      <c r="CB14" s="149"/>
      <c r="CC14" s="149"/>
      <c r="CD14" s="149"/>
      <c r="CE14" s="149"/>
      <c r="CF14" s="149"/>
      <c r="CG14" s="149"/>
      <c r="CH14" s="149"/>
      <c r="CI14" s="149"/>
      <c r="CJ14" s="149"/>
      <c r="CK14" s="149"/>
      <c r="CL14" s="149"/>
      <c r="CM14" s="149"/>
      <c r="CN14" s="149"/>
      <c r="CO14" s="149"/>
      <c r="CP14" s="149"/>
      <c r="CQ14" s="149"/>
      <c r="CR14" s="149"/>
      <c r="CS14" s="149"/>
      <c r="CT14" s="149"/>
      <c r="CU14" s="149"/>
      <c r="CV14" s="149"/>
      <c r="CW14" s="149"/>
      <c r="CX14" s="149"/>
      <c r="CY14" s="149"/>
      <c r="CZ14" s="149"/>
      <c r="DA14" s="149"/>
      <c r="DB14" s="149"/>
      <c r="DC14" s="149"/>
      <c r="DD14" s="149"/>
      <c r="DE14" s="149"/>
      <c r="DF14" s="149"/>
      <c r="DG14" s="149"/>
      <c r="DH14" s="149"/>
      <c r="DI14" s="149"/>
      <c r="DJ14" s="149"/>
      <c r="DK14" s="149"/>
      <c r="DL14" s="149"/>
      <c r="DM14" s="149"/>
      <c r="DN14" s="149"/>
      <c r="DO14" s="149"/>
      <c r="DP14" s="149"/>
      <c r="DQ14" s="149"/>
      <c r="DR14" s="149"/>
      <c r="DS14" s="149"/>
      <c r="DT14" s="149"/>
      <c r="DU14" s="149"/>
      <c r="DV14" s="149"/>
      <c r="DW14" s="149"/>
      <c r="DX14" s="149"/>
      <c r="DY14" s="149"/>
      <c r="DZ14" s="149"/>
      <c r="EA14" s="149"/>
      <c r="EB14" s="149"/>
      <c r="EC14" s="149"/>
      <c r="ED14" s="149"/>
      <c r="EE14" s="149"/>
      <c r="EF14" s="149"/>
      <c r="EG14" s="149"/>
      <c r="EH14" s="149"/>
      <c r="EI14" s="149"/>
      <c r="EJ14" s="149"/>
      <c r="EK14" s="149"/>
      <c r="EL14" s="149"/>
      <c r="EM14" s="149"/>
      <c r="EN14" s="149"/>
      <c r="EO14" s="149"/>
      <c r="EP14" s="149"/>
      <c r="EQ14" s="149"/>
      <c r="ER14" s="149"/>
      <c r="ES14" s="149"/>
      <c r="ET14" s="149"/>
      <c r="EU14" s="149"/>
      <c r="EV14" s="149"/>
      <c r="EW14" s="149"/>
      <c r="EX14" s="149"/>
      <c r="EY14" s="149"/>
      <c r="EZ14" s="149"/>
      <c r="FA14" s="149"/>
      <c r="FB14" s="149"/>
      <c r="FC14" s="149"/>
      <c r="FD14" s="149"/>
      <c r="FE14" s="149"/>
      <c r="FF14" s="149"/>
      <c r="FG14" s="149"/>
      <c r="FH14" s="149"/>
      <c r="FI14" s="149"/>
      <c r="FJ14" s="149"/>
      <c r="FK14" s="149"/>
      <c r="FL14" s="149"/>
      <c r="FM14" s="149"/>
      <c r="FN14" s="149"/>
      <c r="FO14" s="149"/>
      <c r="FP14" s="149"/>
      <c r="FQ14" s="149"/>
      <c r="FR14" s="149"/>
      <c r="FS14" s="149"/>
      <c r="FT14" s="149"/>
      <c r="FU14" s="149"/>
      <c r="FV14" s="149"/>
      <c r="FW14" s="149"/>
      <c r="FX14" s="149"/>
      <c r="FY14" s="149"/>
      <c r="FZ14" s="149"/>
      <c r="GA14" s="149"/>
      <c r="GB14" s="149"/>
      <c r="GC14" s="149"/>
      <c r="GD14" s="149"/>
      <c r="GE14" s="149"/>
    </row>
    <row r="15" spans="1:187">
      <c r="A15" s="147" t="s">
        <v>50</v>
      </c>
      <c r="B15" s="149" t="s">
        <v>2011</v>
      </c>
      <c r="C15" s="149" t="str">
        <f t="shared" si="0"/>
        <v>005365</v>
      </c>
      <c r="D15" s="155" t="s">
        <v>2012</v>
      </c>
      <c r="E15" s="149"/>
      <c r="F15" s="150" t="s">
        <v>497</v>
      </c>
      <c r="G15" s="149">
        <v>1</v>
      </c>
      <c r="H15" s="149"/>
      <c r="I15" s="157" t="s">
        <v>2013</v>
      </c>
      <c r="J15" s="149">
        <v>1</v>
      </c>
      <c r="K15" s="149"/>
      <c r="L15" s="149">
        <v>1956</v>
      </c>
      <c r="M15" s="150" t="s">
        <v>490</v>
      </c>
      <c r="N15" s="151">
        <v>101235571</v>
      </c>
      <c r="O15" s="149"/>
      <c r="P15" s="149"/>
      <c r="Q15" s="149"/>
      <c r="R15" s="149"/>
      <c r="S15" s="149" t="s">
        <v>1999</v>
      </c>
      <c r="T15" s="149" t="str">
        <f>VLOOKUP(U15,MaXa_3cap_2cap!$B$2:$C$369,2,0)</f>
        <v>06910</v>
      </c>
      <c r="U15" s="149" t="s">
        <v>1776</v>
      </c>
      <c r="V15" s="149" t="s">
        <v>2000</v>
      </c>
      <c r="W15" s="149"/>
      <c r="X15" s="149"/>
      <c r="Y15" s="150" t="s">
        <v>1777</v>
      </c>
      <c r="Z15" s="157" t="s">
        <v>2014</v>
      </c>
      <c r="AA15" s="149">
        <v>0</v>
      </c>
      <c r="AB15" s="149"/>
      <c r="AC15" s="149">
        <v>1957</v>
      </c>
      <c r="AD15" s="157" t="s">
        <v>491</v>
      </c>
      <c r="AE15" s="148" t="s">
        <v>2015</v>
      </c>
      <c r="AF15" s="149"/>
      <c r="AG15" s="149"/>
      <c r="AH15" s="149"/>
      <c r="AI15" s="149"/>
      <c r="AJ15" s="149" t="s">
        <v>1999</v>
      </c>
      <c r="AK15" s="149" t="str">
        <f>VLOOKUP(AL15,MaXa_3cap_2cap!$B$2:$C$369,2,0)</f>
        <v>06910</v>
      </c>
      <c r="AL15" s="149" t="s">
        <v>1776</v>
      </c>
      <c r="AM15" s="149" t="s">
        <v>2000</v>
      </c>
      <c r="AN15" s="149"/>
      <c r="AO15" s="149"/>
      <c r="AP15" s="149" t="s">
        <v>1777</v>
      </c>
      <c r="AQ15" s="158">
        <v>120</v>
      </c>
      <c r="AR15" s="149">
        <v>35</v>
      </c>
      <c r="AS15" s="149">
        <v>1000</v>
      </c>
      <c r="AT15" s="149"/>
      <c r="AU15" s="149" t="str">
        <f>VLOOKUP(CP15,'TT DO DAC'!$B$2:$G$213,5,0)</f>
        <v>Chi nhánh xí nghiệp tài nguyên và môi trường 7</v>
      </c>
      <c r="AV15" s="149"/>
      <c r="AW15" s="149"/>
      <c r="AX15" s="152">
        <f>VLOOKUP(CP15,'TT DO DAC'!$B$2:$G$213,6,0)</f>
        <v>41274</v>
      </c>
      <c r="AY15" s="149" t="s">
        <v>1852</v>
      </c>
      <c r="AZ15" s="149"/>
      <c r="BA15" s="149"/>
      <c r="BB15" s="149" t="s">
        <v>1029</v>
      </c>
      <c r="BC15" s="153" t="str">
        <f>VLOOKUP(BB15,DM_LoaiDat!$B$2:$C$78,2,0)</f>
        <v xml:space="preserve">LUK </v>
      </c>
      <c r="BD15" s="149" t="str">
        <f t="shared" si="2"/>
        <v xml:space="preserve">LUK </v>
      </c>
      <c r="BE15" s="151">
        <v>449</v>
      </c>
      <c r="BF15" s="149">
        <v>0</v>
      </c>
      <c r="BG15" s="149" t="s">
        <v>1779</v>
      </c>
      <c r="BH15" s="149"/>
      <c r="BI15" s="149" t="s">
        <v>204</v>
      </c>
      <c r="BJ15" s="149" t="str">
        <f>VLOOKUP(BI15,DM_NguonGocSuDungDat!$A$2:$B$24,2,0)</f>
        <v>Nhà nước giao đất không thu tiền sử dụng đất</v>
      </c>
      <c r="BK15" s="149"/>
      <c r="BL15" s="149"/>
      <c r="BM15" s="149"/>
      <c r="BN15" s="149"/>
      <c r="BO15" s="149"/>
      <c r="BP15" s="149"/>
      <c r="BQ15" s="149"/>
      <c r="BR15" s="149"/>
      <c r="BS15" s="149"/>
      <c r="BT15" s="149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49"/>
      <c r="CK15" s="149"/>
      <c r="CL15" s="149"/>
      <c r="CM15" s="149"/>
      <c r="CN15" s="149"/>
      <c r="CO15" s="149"/>
      <c r="CP15" s="149" t="s">
        <v>1776</v>
      </c>
      <c r="CQ15" s="149" t="s">
        <v>2000</v>
      </c>
      <c r="CR15" s="149"/>
      <c r="CS15" s="149"/>
      <c r="CT15" s="149">
        <v>0</v>
      </c>
      <c r="CU15" s="149"/>
      <c r="CV15" s="149" t="s">
        <v>424</v>
      </c>
      <c r="CW15" s="149" t="s">
        <v>2016</v>
      </c>
      <c r="CX15" s="149"/>
      <c r="CY15" s="149" t="s">
        <v>2017</v>
      </c>
      <c r="CZ15" s="149" t="s">
        <v>1780</v>
      </c>
      <c r="DA15" s="149">
        <v>0</v>
      </c>
      <c r="DB15" s="149">
        <v>1</v>
      </c>
      <c r="DC15" s="149">
        <v>2021</v>
      </c>
      <c r="DD15" s="149"/>
      <c r="DE15" s="149"/>
      <c r="DF15" s="149"/>
      <c r="DG15" s="149"/>
      <c r="DH15" s="149"/>
      <c r="DI15" s="149"/>
      <c r="DJ15" s="149"/>
      <c r="DK15" s="149"/>
      <c r="DL15" s="149"/>
      <c r="DM15" s="149"/>
      <c r="DN15" s="149"/>
      <c r="DO15" s="149"/>
      <c r="DP15" s="149"/>
      <c r="DQ15" s="149"/>
      <c r="DR15" s="149"/>
      <c r="DS15" s="149"/>
      <c r="DT15" s="149"/>
      <c r="DU15" s="149"/>
      <c r="DV15" s="149"/>
      <c r="DW15" s="149"/>
      <c r="DX15" s="149"/>
      <c r="DY15" s="149"/>
      <c r="DZ15" s="149"/>
      <c r="EA15" s="149"/>
      <c r="EB15" s="149"/>
      <c r="EC15" s="149"/>
      <c r="ED15" s="149"/>
      <c r="EE15" s="149"/>
      <c r="EF15" s="149"/>
      <c r="EG15" s="149"/>
      <c r="EH15" s="149"/>
      <c r="EI15" s="149"/>
      <c r="EJ15" s="149"/>
      <c r="EK15" s="149"/>
      <c r="EL15" s="149"/>
      <c r="EM15" s="149"/>
      <c r="EN15" s="149"/>
      <c r="EO15" s="149"/>
      <c r="EP15" s="149"/>
      <c r="EQ15" s="149"/>
      <c r="ER15" s="149"/>
      <c r="ES15" s="149"/>
      <c r="ET15" s="149"/>
      <c r="EU15" s="149"/>
      <c r="EV15" s="149"/>
      <c r="EW15" s="149"/>
      <c r="EX15" s="149"/>
      <c r="EY15" s="149"/>
      <c r="EZ15" s="149"/>
      <c r="FA15" s="149"/>
      <c r="FB15" s="149"/>
      <c r="FC15" s="149"/>
      <c r="FD15" s="149"/>
      <c r="FE15" s="149"/>
      <c r="FF15" s="149"/>
      <c r="FG15" s="149"/>
      <c r="FH15" s="149"/>
      <c r="FI15" s="149"/>
      <c r="FJ15" s="149"/>
      <c r="FK15" s="149"/>
      <c r="FL15" s="149"/>
      <c r="FM15" s="149"/>
      <c r="FN15" s="149"/>
      <c r="FO15" s="149"/>
      <c r="FP15" s="149"/>
      <c r="FQ15" s="149"/>
      <c r="FR15" s="149"/>
      <c r="FS15" s="149"/>
      <c r="FT15" s="149"/>
      <c r="FU15" s="149"/>
      <c r="FV15" s="149"/>
      <c r="FW15" s="149"/>
      <c r="FX15" s="149"/>
      <c r="FY15" s="149"/>
      <c r="FZ15" s="149"/>
      <c r="GA15" s="149"/>
      <c r="GB15" s="149" t="s">
        <v>2011</v>
      </c>
      <c r="GC15" s="149"/>
      <c r="GD15" s="149"/>
      <c r="GE15" s="149"/>
    </row>
    <row r="16" spans="1:187">
      <c r="A16" s="147" t="s">
        <v>51</v>
      </c>
      <c r="B16" s="149" t="s">
        <v>2011</v>
      </c>
      <c r="C16" s="149" t="str">
        <f t="shared" si="0"/>
        <v>005365</v>
      </c>
      <c r="D16" s="155" t="s">
        <v>2012</v>
      </c>
      <c r="E16" s="149"/>
      <c r="F16" s="150" t="s">
        <v>497</v>
      </c>
      <c r="G16" s="149">
        <v>1</v>
      </c>
      <c r="H16" s="149"/>
      <c r="I16" s="157" t="s">
        <v>2013</v>
      </c>
      <c r="J16" s="149">
        <v>1</v>
      </c>
      <c r="K16" s="149"/>
      <c r="L16" s="149">
        <v>1956</v>
      </c>
      <c r="M16" s="150" t="s">
        <v>490</v>
      </c>
      <c r="N16" s="151">
        <v>101235571</v>
      </c>
      <c r="O16" s="149"/>
      <c r="P16" s="149"/>
      <c r="Q16" s="149"/>
      <c r="R16" s="149"/>
      <c r="S16" s="149" t="s">
        <v>1999</v>
      </c>
      <c r="T16" s="149" t="str">
        <f>VLOOKUP(U16,MaXa_3cap_2cap!$B$2:$C$369,2,0)</f>
        <v>06910</v>
      </c>
      <c r="U16" s="149" t="s">
        <v>1776</v>
      </c>
      <c r="V16" s="149" t="s">
        <v>2000</v>
      </c>
      <c r="W16" s="149"/>
      <c r="X16" s="149"/>
      <c r="Y16" s="150" t="s">
        <v>1777</v>
      </c>
      <c r="Z16" s="157" t="s">
        <v>2014</v>
      </c>
      <c r="AA16" s="149">
        <v>0</v>
      </c>
      <c r="AB16" s="149"/>
      <c r="AC16" s="149">
        <v>1957</v>
      </c>
      <c r="AD16" s="157" t="s">
        <v>491</v>
      </c>
      <c r="AE16" s="148" t="s">
        <v>2015</v>
      </c>
      <c r="AF16" s="149"/>
      <c r="AG16" s="149"/>
      <c r="AH16" s="149"/>
      <c r="AI16" s="149"/>
      <c r="AJ16" s="149" t="s">
        <v>1999</v>
      </c>
      <c r="AK16" s="149" t="str">
        <f>VLOOKUP(AL16,MaXa_3cap_2cap!$B$2:$C$369,2,0)</f>
        <v>06910</v>
      </c>
      <c r="AL16" s="149" t="s">
        <v>1776</v>
      </c>
      <c r="AM16" s="149" t="s">
        <v>2000</v>
      </c>
      <c r="AN16" s="149"/>
      <c r="AO16" s="149"/>
      <c r="AP16" s="149" t="s">
        <v>1777</v>
      </c>
      <c r="AQ16" s="158">
        <v>117</v>
      </c>
      <c r="AR16" s="149">
        <v>35</v>
      </c>
      <c r="AS16" s="149">
        <v>1000</v>
      </c>
      <c r="AT16" s="149"/>
      <c r="AU16" s="149" t="str">
        <f>VLOOKUP(CP16,'TT DO DAC'!$B$2:$G$213,5,0)</f>
        <v>Chi nhánh xí nghiệp tài nguyên và môi trường 7</v>
      </c>
      <c r="AV16" s="149"/>
      <c r="AW16" s="149"/>
      <c r="AX16" s="152">
        <f>VLOOKUP(CP16,'TT DO DAC'!$B$2:$G$213,6,0)</f>
        <v>41274</v>
      </c>
      <c r="AY16" s="149" t="s">
        <v>1852</v>
      </c>
      <c r="AZ16" s="149"/>
      <c r="BA16" s="149"/>
      <c r="BB16" s="149" t="s">
        <v>1029</v>
      </c>
      <c r="BC16" s="153" t="str">
        <f>VLOOKUP(BB16,DM_LoaiDat!$B$2:$C$78,2,0)</f>
        <v xml:space="preserve">LUK </v>
      </c>
      <c r="BD16" s="149" t="str">
        <f t="shared" si="2"/>
        <v xml:space="preserve">LUK </v>
      </c>
      <c r="BE16" s="151">
        <v>565.1</v>
      </c>
      <c r="BF16" s="149">
        <v>0</v>
      </c>
      <c r="BG16" s="149" t="s">
        <v>1779</v>
      </c>
      <c r="BH16" s="149"/>
      <c r="BI16" s="149" t="s">
        <v>204</v>
      </c>
      <c r="BJ16" s="149" t="str">
        <f>VLOOKUP(BI16,DM_NguonGocSuDungDat!$A$2:$B$24,2,0)</f>
        <v>Nhà nước giao đất không thu tiền sử dụng đất</v>
      </c>
      <c r="BK16" s="149"/>
      <c r="BL16" s="149"/>
      <c r="BM16" s="149"/>
      <c r="BN16" s="149"/>
      <c r="BO16" s="149"/>
      <c r="BP16" s="149"/>
      <c r="BQ16" s="149"/>
      <c r="BR16" s="149"/>
      <c r="BS16" s="149"/>
      <c r="BT16" s="149"/>
      <c r="BU16" s="149"/>
      <c r="BV16" s="149"/>
      <c r="BW16" s="149"/>
      <c r="BX16" s="149"/>
      <c r="BY16" s="149"/>
      <c r="BZ16" s="149"/>
      <c r="CA16" s="149"/>
      <c r="CB16" s="149"/>
      <c r="CC16" s="149"/>
      <c r="CD16" s="149"/>
      <c r="CE16" s="149"/>
      <c r="CF16" s="149"/>
      <c r="CG16" s="149"/>
      <c r="CH16" s="149"/>
      <c r="CI16" s="149"/>
      <c r="CJ16" s="149"/>
      <c r="CK16" s="149"/>
      <c r="CL16" s="149"/>
      <c r="CM16" s="149"/>
      <c r="CN16" s="149"/>
      <c r="CO16" s="149"/>
      <c r="CP16" s="149" t="s">
        <v>1776</v>
      </c>
      <c r="CQ16" s="149" t="s">
        <v>2000</v>
      </c>
      <c r="CR16" s="149"/>
      <c r="CS16" s="149"/>
      <c r="CT16" s="149">
        <v>0</v>
      </c>
      <c r="CU16" s="149"/>
      <c r="CV16" s="149" t="s">
        <v>424</v>
      </c>
      <c r="CW16" s="149" t="s">
        <v>2016</v>
      </c>
      <c r="CX16" s="149"/>
      <c r="CY16" s="149" t="s">
        <v>2017</v>
      </c>
      <c r="CZ16" s="149" t="s">
        <v>1780</v>
      </c>
      <c r="DA16" s="149">
        <v>0</v>
      </c>
      <c r="DB16" s="149">
        <v>1</v>
      </c>
      <c r="DC16" s="149">
        <v>2021</v>
      </c>
      <c r="DD16" s="149"/>
      <c r="DE16" s="149"/>
      <c r="DF16" s="149"/>
      <c r="DG16" s="149"/>
      <c r="DH16" s="149"/>
      <c r="DI16" s="149"/>
      <c r="DJ16" s="149"/>
      <c r="DK16" s="149"/>
      <c r="DL16" s="149"/>
      <c r="DM16" s="149"/>
      <c r="DN16" s="149"/>
      <c r="DO16" s="149"/>
      <c r="DP16" s="149"/>
      <c r="DQ16" s="149"/>
      <c r="DR16" s="149"/>
      <c r="DS16" s="149"/>
      <c r="DT16" s="149"/>
      <c r="DU16" s="149"/>
      <c r="DV16" s="149"/>
      <c r="DW16" s="149"/>
      <c r="DX16" s="149"/>
      <c r="DY16" s="149"/>
      <c r="DZ16" s="149"/>
      <c r="EA16" s="149"/>
      <c r="EB16" s="149"/>
      <c r="EC16" s="149"/>
      <c r="ED16" s="149"/>
      <c r="EE16" s="149"/>
      <c r="EF16" s="149"/>
      <c r="EG16" s="149"/>
      <c r="EH16" s="149"/>
      <c r="EI16" s="149"/>
      <c r="EJ16" s="149"/>
      <c r="EK16" s="149"/>
      <c r="EL16" s="149"/>
      <c r="EM16" s="149"/>
      <c r="EN16" s="149"/>
      <c r="EO16" s="149"/>
      <c r="EP16" s="149"/>
      <c r="EQ16" s="149"/>
      <c r="ER16" s="149"/>
      <c r="ES16" s="149"/>
      <c r="ET16" s="149"/>
      <c r="EU16" s="149"/>
      <c r="EV16" s="149"/>
      <c r="EW16" s="149"/>
      <c r="EX16" s="149"/>
      <c r="EY16" s="149"/>
      <c r="EZ16" s="149"/>
      <c r="FA16" s="149"/>
      <c r="FB16" s="149"/>
      <c r="FC16" s="149"/>
      <c r="FD16" s="149"/>
      <c r="FE16" s="149"/>
      <c r="FF16" s="149"/>
      <c r="FG16" s="149"/>
      <c r="FH16" s="149"/>
      <c r="FI16" s="149"/>
      <c r="FJ16" s="149"/>
      <c r="FK16" s="149"/>
      <c r="FL16" s="149"/>
      <c r="FM16" s="149"/>
      <c r="FN16" s="149"/>
      <c r="FO16" s="149"/>
      <c r="FP16" s="149"/>
      <c r="FQ16" s="149"/>
      <c r="FR16" s="149"/>
      <c r="FS16" s="149"/>
      <c r="FT16" s="149"/>
      <c r="FU16" s="149"/>
      <c r="FV16" s="149"/>
      <c r="FW16" s="149"/>
      <c r="FX16" s="149"/>
      <c r="FY16" s="149"/>
      <c r="FZ16" s="149"/>
      <c r="GA16" s="149"/>
      <c r="GB16" s="149" t="s">
        <v>2011</v>
      </c>
      <c r="GC16" s="149"/>
      <c r="GD16" s="149"/>
      <c r="GE16" s="149"/>
    </row>
    <row r="17" spans="1:187">
      <c r="A17" s="147" t="s">
        <v>52</v>
      </c>
      <c r="B17" s="149" t="s">
        <v>2011</v>
      </c>
      <c r="C17" s="149" t="str">
        <f t="shared" si="0"/>
        <v>005365</v>
      </c>
      <c r="D17" s="155" t="s">
        <v>2012</v>
      </c>
      <c r="E17" s="149"/>
      <c r="F17" s="150" t="s">
        <v>497</v>
      </c>
      <c r="G17" s="149">
        <v>1</v>
      </c>
      <c r="H17" s="149"/>
      <c r="I17" s="157" t="s">
        <v>2013</v>
      </c>
      <c r="J17" s="149">
        <v>1</v>
      </c>
      <c r="K17" s="149"/>
      <c r="L17" s="149">
        <v>1956</v>
      </c>
      <c r="M17" s="150" t="s">
        <v>490</v>
      </c>
      <c r="N17" s="151">
        <v>101235571</v>
      </c>
      <c r="O17" s="149"/>
      <c r="P17" s="149"/>
      <c r="Q17" s="149"/>
      <c r="R17" s="149"/>
      <c r="S17" s="149" t="s">
        <v>1999</v>
      </c>
      <c r="T17" s="149" t="str">
        <f>VLOOKUP(U17,MaXa_3cap_2cap!$B$2:$C$369,2,0)</f>
        <v>06910</v>
      </c>
      <c r="U17" s="149" t="s">
        <v>1776</v>
      </c>
      <c r="V17" s="149" t="s">
        <v>2000</v>
      </c>
      <c r="W17" s="149"/>
      <c r="X17" s="149"/>
      <c r="Y17" s="150" t="s">
        <v>1777</v>
      </c>
      <c r="Z17" s="157" t="s">
        <v>2014</v>
      </c>
      <c r="AA17" s="149">
        <v>0</v>
      </c>
      <c r="AB17" s="149"/>
      <c r="AC17" s="149">
        <v>1957</v>
      </c>
      <c r="AD17" s="157" t="s">
        <v>491</v>
      </c>
      <c r="AE17" s="148" t="s">
        <v>2015</v>
      </c>
      <c r="AF17" s="149"/>
      <c r="AG17" s="149"/>
      <c r="AH17" s="149"/>
      <c r="AI17" s="149"/>
      <c r="AJ17" s="149" t="s">
        <v>1999</v>
      </c>
      <c r="AK17" s="149" t="str">
        <f>VLOOKUP(AL17,MaXa_3cap_2cap!$B$2:$C$369,2,0)</f>
        <v>06910</v>
      </c>
      <c r="AL17" s="149" t="s">
        <v>1776</v>
      </c>
      <c r="AM17" s="149" t="s">
        <v>2000</v>
      </c>
      <c r="AN17" s="149"/>
      <c r="AO17" s="149"/>
      <c r="AP17" s="149" t="s">
        <v>1777</v>
      </c>
      <c r="AQ17" s="158">
        <v>70</v>
      </c>
      <c r="AR17" s="149">
        <v>35</v>
      </c>
      <c r="AS17" s="149">
        <v>1000</v>
      </c>
      <c r="AT17" s="149"/>
      <c r="AU17" s="149" t="str">
        <f>VLOOKUP(CP17,'TT DO DAC'!$B$2:$G$213,5,0)</f>
        <v>Chi nhánh xí nghiệp tài nguyên và môi trường 7</v>
      </c>
      <c r="AV17" s="149"/>
      <c r="AW17" s="149"/>
      <c r="AX17" s="152">
        <f>VLOOKUP(CP17,'TT DO DAC'!$B$2:$G$213,6,0)</f>
        <v>41274</v>
      </c>
      <c r="AY17" s="149" t="s">
        <v>1852</v>
      </c>
      <c r="AZ17" s="149"/>
      <c r="BA17" s="149"/>
      <c r="BB17" s="149" t="s">
        <v>1029</v>
      </c>
      <c r="BC17" s="153" t="str">
        <f>VLOOKUP(BB17,DM_LoaiDat!$B$2:$C$78,2,0)</f>
        <v xml:space="preserve">LUK </v>
      </c>
      <c r="BD17" s="149" t="str">
        <f t="shared" si="2"/>
        <v xml:space="preserve">LUK </v>
      </c>
      <c r="BE17" s="151">
        <v>1256.7</v>
      </c>
      <c r="BF17" s="149">
        <v>0</v>
      </c>
      <c r="BG17" s="149" t="s">
        <v>1779</v>
      </c>
      <c r="BH17" s="149"/>
      <c r="BI17" s="149" t="s">
        <v>204</v>
      </c>
      <c r="BJ17" s="149" t="str">
        <f>VLOOKUP(BI17,DM_NguonGocSuDungDat!$A$2:$B$24,2,0)</f>
        <v>Nhà nước giao đất không thu tiền sử dụng đất</v>
      </c>
      <c r="BK17" s="149"/>
      <c r="BL17" s="149"/>
      <c r="BM17" s="149"/>
      <c r="BN17" s="149"/>
      <c r="BO17" s="149"/>
      <c r="BP17" s="149"/>
      <c r="BQ17" s="149"/>
      <c r="BR17" s="149"/>
      <c r="BS17" s="149"/>
      <c r="BT17" s="149"/>
      <c r="BU17" s="149"/>
      <c r="BV17" s="149"/>
      <c r="BW17" s="149"/>
      <c r="BX17" s="149"/>
      <c r="BY17" s="149"/>
      <c r="BZ17" s="149"/>
      <c r="CA17" s="149"/>
      <c r="CB17" s="149"/>
      <c r="CC17" s="149"/>
      <c r="CD17" s="149"/>
      <c r="CE17" s="149"/>
      <c r="CF17" s="149"/>
      <c r="CG17" s="149"/>
      <c r="CH17" s="149"/>
      <c r="CI17" s="149"/>
      <c r="CJ17" s="149"/>
      <c r="CK17" s="149"/>
      <c r="CL17" s="149"/>
      <c r="CM17" s="149"/>
      <c r="CN17" s="149"/>
      <c r="CO17" s="149"/>
      <c r="CP17" s="149" t="s">
        <v>1776</v>
      </c>
      <c r="CQ17" s="149" t="s">
        <v>2000</v>
      </c>
      <c r="CR17" s="149"/>
      <c r="CS17" s="149"/>
      <c r="CT17" s="149">
        <v>0</v>
      </c>
      <c r="CU17" s="149"/>
      <c r="CV17" s="149" t="s">
        <v>424</v>
      </c>
      <c r="CW17" s="149" t="s">
        <v>2016</v>
      </c>
      <c r="CX17" s="149"/>
      <c r="CY17" s="149" t="s">
        <v>2017</v>
      </c>
      <c r="CZ17" s="149" t="s">
        <v>1780</v>
      </c>
      <c r="DA17" s="149">
        <v>0</v>
      </c>
      <c r="DB17" s="149">
        <v>1</v>
      </c>
      <c r="DC17" s="149">
        <v>2021</v>
      </c>
      <c r="DD17" s="149"/>
      <c r="DE17" s="149"/>
      <c r="DF17" s="149"/>
      <c r="DG17" s="149"/>
      <c r="DH17" s="149"/>
      <c r="DI17" s="149"/>
      <c r="DJ17" s="149"/>
      <c r="DK17" s="149"/>
      <c r="DL17" s="149"/>
      <c r="DM17" s="149"/>
      <c r="DN17" s="149"/>
      <c r="DO17" s="149"/>
      <c r="DP17" s="149"/>
      <c r="DQ17" s="149"/>
      <c r="DR17" s="149"/>
      <c r="DS17" s="149"/>
      <c r="DT17" s="149"/>
      <c r="DU17" s="149"/>
      <c r="DV17" s="149"/>
      <c r="DW17" s="149"/>
      <c r="DX17" s="149"/>
      <c r="DY17" s="149"/>
      <c r="DZ17" s="149"/>
      <c r="EA17" s="149"/>
      <c r="EB17" s="149"/>
      <c r="EC17" s="149"/>
      <c r="ED17" s="149"/>
      <c r="EE17" s="149"/>
      <c r="EF17" s="149"/>
      <c r="EG17" s="149"/>
      <c r="EH17" s="149"/>
      <c r="EI17" s="149"/>
      <c r="EJ17" s="149"/>
      <c r="EK17" s="149"/>
      <c r="EL17" s="149"/>
      <c r="EM17" s="149"/>
      <c r="EN17" s="149"/>
      <c r="EO17" s="149"/>
      <c r="EP17" s="149"/>
      <c r="EQ17" s="149"/>
      <c r="ER17" s="149"/>
      <c r="ES17" s="149"/>
      <c r="ET17" s="149"/>
      <c r="EU17" s="149"/>
      <c r="EV17" s="149"/>
      <c r="EW17" s="149"/>
      <c r="EX17" s="149"/>
      <c r="EY17" s="149"/>
      <c r="EZ17" s="149"/>
      <c r="FA17" s="149"/>
      <c r="FB17" s="149"/>
      <c r="FC17" s="149"/>
      <c r="FD17" s="149"/>
      <c r="FE17" s="149"/>
      <c r="FF17" s="149"/>
      <c r="FG17" s="149"/>
      <c r="FH17" s="149"/>
      <c r="FI17" s="149"/>
      <c r="FJ17" s="149"/>
      <c r="FK17" s="149"/>
      <c r="FL17" s="149"/>
      <c r="FM17" s="149"/>
      <c r="FN17" s="149"/>
      <c r="FO17" s="149"/>
      <c r="FP17" s="149"/>
      <c r="FQ17" s="149"/>
      <c r="FR17" s="149"/>
      <c r="FS17" s="149"/>
      <c r="FT17" s="149"/>
      <c r="FU17" s="149"/>
      <c r="FV17" s="149"/>
      <c r="FW17" s="149"/>
      <c r="FX17" s="149"/>
      <c r="FY17" s="149"/>
      <c r="FZ17" s="149"/>
      <c r="GA17" s="149"/>
      <c r="GB17" s="149" t="s">
        <v>2011</v>
      </c>
      <c r="GC17" s="149"/>
      <c r="GD17" s="149"/>
      <c r="GE17" s="149"/>
    </row>
    <row r="18" spans="1:187">
      <c r="A18" s="147" t="s">
        <v>53</v>
      </c>
      <c r="B18" s="149" t="s">
        <v>2011</v>
      </c>
      <c r="C18" s="149" t="str">
        <f t="shared" si="0"/>
        <v>005365</v>
      </c>
      <c r="D18" s="155" t="s">
        <v>2012</v>
      </c>
      <c r="E18" s="149"/>
      <c r="F18" s="150" t="s">
        <v>497</v>
      </c>
      <c r="G18" s="149">
        <v>1</v>
      </c>
      <c r="H18" s="149"/>
      <c r="I18" s="157" t="s">
        <v>2013</v>
      </c>
      <c r="J18" s="149">
        <v>1</v>
      </c>
      <c r="K18" s="149"/>
      <c r="L18" s="149">
        <v>1956</v>
      </c>
      <c r="M18" s="150" t="s">
        <v>490</v>
      </c>
      <c r="N18" s="151">
        <v>101235571</v>
      </c>
      <c r="O18" s="149"/>
      <c r="P18" s="149"/>
      <c r="Q18" s="149"/>
      <c r="R18" s="149"/>
      <c r="S18" s="149" t="s">
        <v>1999</v>
      </c>
      <c r="T18" s="149" t="str">
        <f>VLOOKUP(U18,MaXa_3cap_2cap!$B$2:$C$369,2,0)</f>
        <v>06910</v>
      </c>
      <c r="U18" s="149" t="s">
        <v>1776</v>
      </c>
      <c r="V18" s="149" t="s">
        <v>2000</v>
      </c>
      <c r="W18" s="149"/>
      <c r="X18" s="149"/>
      <c r="Y18" s="150" t="s">
        <v>1777</v>
      </c>
      <c r="Z18" s="157" t="s">
        <v>2014</v>
      </c>
      <c r="AA18" s="149">
        <v>0</v>
      </c>
      <c r="AB18" s="149"/>
      <c r="AC18" s="149">
        <v>1957</v>
      </c>
      <c r="AD18" s="157" t="s">
        <v>491</v>
      </c>
      <c r="AE18" s="148" t="s">
        <v>2015</v>
      </c>
      <c r="AF18" s="149"/>
      <c r="AG18" s="149"/>
      <c r="AH18" s="149"/>
      <c r="AI18" s="149"/>
      <c r="AJ18" s="149" t="s">
        <v>1999</v>
      </c>
      <c r="AK18" s="149" t="str">
        <f>VLOOKUP(AL18,MaXa_3cap_2cap!$B$2:$C$369,2,0)</f>
        <v>06910</v>
      </c>
      <c r="AL18" s="149" t="s">
        <v>1776</v>
      </c>
      <c r="AM18" s="149" t="s">
        <v>2000</v>
      </c>
      <c r="AN18" s="149"/>
      <c r="AO18" s="149"/>
      <c r="AP18" s="149" t="s">
        <v>1777</v>
      </c>
      <c r="AQ18" s="149">
        <v>55</v>
      </c>
      <c r="AR18" s="149">
        <v>35</v>
      </c>
      <c r="AS18" s="149">
        <v>1000</v>
      </c>
      <c r="AT18" s="149"/>
      <c r="AU18" s="149" t="str">
        <f>VLOOKUP(CP18,'TT DO DAC'!$B$2:$G$213,5,0)</f>
        <v>Chi nhánh xí nghiệp tài nguyên và môi trường 7</v>
      </c>
      <c r="AV18" s="149"/>
      <c r="AW18" s="149"/>
      <c r="AX18" s="152">
        <f>VLOOKUP(CP18,'TT DO DAC'!$B$2:$G$213,6,0)</f>
        <v>41274</v>
      </c>
      <c r="AY18" s="149" t="s">
        <v>1852</v>
      </c>
      <c r="AZ18" s="149"/>
      <c r="BA18" s="149"/>
      <c r="BB18" s="149" t="s">
        <v>1030</v>
      </c>
      <c r="BC18" s="153" t="str">
        <f>VLOOKUP(BB18,DM_LoaiDat!$B$2:$C$78,2,0)</f>
        <v xml:space="preserve">HNK </v>
      </c>
      <c r="BD18" s="149" t="str">
        <f t="shared" si="2"/>
        <v xml:space="preserve">HNK </v>
      </c>
      <c r="BE18" s="151">
        <v>140.4</v>
      </c>
      <c r="BF18" s="149">
        <v>0</v>
      </c>
      <c r="BG18" s="149" t="s">
        <v>1779</v>
      </c>
      <c r="BH18" s="149"/>
      <c r="BI18" s="149" t="s">
        <v>204</v>
      </c>
      <c r="BJ18" s="149" t="str">
        <f>VLOOKUP(BI18,DM_NguonGocSuDungDat!$A$2:$B$24,2,0)</f>
        <v>Nhà nước giao đất không thu tiền sử dụng đất</v>
      </c>
      <c r="BK18" s="149"/>
      <c r="BL18" s="149"/>
      <c r="BM18" s="149"/>
      <c r="BN18" s="149"/>
      <c r="BO18" s="149"/>
      <c r="BP18" s="149"/>
      <c r="BQ18" s="149"/>
      <c r="BR18" s="149"/>
      <c r="BS18" s="149"/>
      <c r="BT18" s="149"/>
      <c r="BU18" s="149"/>
      <c r="BV18" s="149"/>
      <c r="BW18" s="149"/>
      <c r="BX18" s="149"/>
      <c r="BY18" s="149"/>
      <c r="BZ18" s="149"/>
      <c r="CA18" s="149"/>
      <c r="CB18" s="149"/>
      <c r="CC18" s="149"/>
      <c r="CD18" s="149"/>
      <c r="CE18" s="149"/>
      <c r="CF18" s="149"/>
      <c r="CG18" s="149"/>
      <c r="CH18" s="149"/>
      <c r="CI18" s="149"/>
      <c r="CJ18" s="149"/>
      <c r="CK18" s="149"/>
      <c r="CL18" s="149"/>
      <c r="CM18" s="149"/>
      <c r="CN18" s="149"/>
      <c r="CO18" s="149"/>
      <c r="CP18" s="149" t="s">
        <v>1776</v>
      </c>
      <c r="CQ18" s="149" t="s">
        <v>2000</v>
      </c>
      <c r="CR18" s="149"/>
      <c r="CS18" s="149"/>
      <c r="CT18" s="149">
        <v>0</v>
      </c>
      <c r="CU18" s="149"/>
      <c r="CV18" s="149" t="s">
        <v>424</v>
      </c>
      <c r="CW18" s="149" t="s">
        <v>2016</v>
      </c>
      <c r="CX18" s="149"/>
      <c r="CY18" s="149" t="s">
        <v>2017</v>
      </c>
      <c r="CZ18" s="149" t="s">
        <v>1780</v>
      </c>
      <c r="DA18" s="149">
        <v>0</v>
      </c>
      <c r="DB18" s="149">
        <v>1</v>
      </c>
      <c r="DC18" s="149">
        <v>2021</v>
      </c>
      <c r="DD18" s="149"/>
      <c r="DE18" s="149"/>
      <c r="DF18" s="149"/>
      <c r="DG18" s="149"/>
      <c r="DH18" s="149"/>
      <c r="DI18" s="149"/>
      <c r="DJ18" s="149"/>
      <c r="DK18" s="149"/>
      <c r="DL18" s="149"/>
      <c r="DM18" s="149"/>
      <c r="DN18" s="149"/>
      <c r="DO18" s="149"/>
      <c r="DP18" s="149"/>
      <c r="DQ18" s="149"/>
      <c r="DR18" s="149"/>
      <c r="DS18" s="149"/>
      <c r="DT18" s="149"/>
      <c r="DU18" s="149"/>
      <c r="DV18" s="149"/>
      <c r="DW18" s="149"/>
      <c r="DX18" s="149"/>
      <c r="DY18" s="149"/>
      <c r="DZ18" s="149"/>
      <c r="EA18" s="149"/>
      <c r="EB18" s="149"/>
      <c r="EC18" s="149"/>
      <c r="ED18" s="149"/>
      <c r="EE18" s="149"/>
      <c r="EF18" s="149"/>
      <c r="EG18" s="149"/>
      <c r="EH18" s="149"/>
      <c r="EI18" s="149"/>
      <c r="EJ18" s="149"/>
      <c r="EK18" s="149"/>
      <c r="EL18" s="149"/>
      <c r="EM18" s="149"/>
      <c r="EN18" s="149"/>
      <c r="EO18" s="149"/>
      <c r="EP18" s="149"/>
      <c r="EQ18" s="149"/>
      <c r="ER18" s="149"/>
      <c r="ES18" s="149"/>
      <c r="ET18" s="149"/>
      <c r="EU18" s="149"/>
      <c r="EV18" s="149"/>
      <c r="EW18" s="149"/>
      <c r="EX18" s="149"/>
      <c r="EY18" s="149"/>
      <c r="EZ18" s="149"/>
      <c r="FA18" s="149"/>
      <c r="FB18" s="149"/>
      <c r="FC18" s="149"/>
      <c r="FD18" s="149"/>
      <c r="FE18" s="149"/>
      <c r="FF18" s="149"/>
      <c r="FG18" s="149"/>
      <c r="FH18" s="149"/>
      <c r="FI18" s="149"/>
      <c r="FJ18" s="149"/>
      <c r="FK18" s="149"/>
      <c r="FL18" s="149"/>
      <c r="FM18" s="149"/>
      <c r="FN18" s="149"/>
      <c r="FO18" s="149"/>
      <c r="FP18" s="149"/>
      <c r="FQ18" s="149"/>
      <c r="FR18" s="149"/>
      <c r="FS18" s="149"/>
      <c r="FT18" s="149"/>
      <c r="FU18" s="149"/>
      <c r="FV18" s="149"/>
      <c r="FW18" s="149"/>
      <c r="FX18" s="149"/>
      <c r="FY18" s="149"/>
      <c r="FZ18" s="149"/>
      <c r="GA18" s="149"/>
      <c r="GB18" s="149" t="s">
        <v>2011</v>
      </c>
      <c r="GC18" s="149"/>
      <c r="GD18" s="149"/>
      <c r="GE18" s="149"/>
    </row>
    <row r="19" spans="1:187">
      <c r="A19" s="159">
        <v>0.6333333333333333</v>
      </c>
      <c r="B19" s="149"/>
      <c r="C19" s="149" t="str">
        <f t="shared" si="0"/>
        <v/>
      </c>
      <c r="D19" s="151"/>
      <c r="E19" s="149"/>
      <c r="F19" s="150"/>
      <c r="G19" s="149"/>
      <c r="H19" s="149"/>
      <c r="I19" s="149"/>
      <c r="J19" s="149"/>
      <c r="K19" s="149"/>
      <c r="L19" s="149"/>
      <c r="M19" s="149"/>
      <c r="N19" s="151"/>
      <c r="O19" s="149"/>
      <c r="P19" s="149"/>
      <c r="Q19" s="149"/>
      <c r="R19" s="149"/>
      <c r="S19" s="149"/>
      <c r="T19" s="149"/>
      <c r="U19" s="149"/>
      <c r="V19" s="149"/>
      <c r="W19" s="149"/>
      <c r="X19" s="149"/>
      <c r="Y19" s="149"/>
      <c r="Z19" s="149"/>
      <c r="AA19" s="149"/>
      <c r="AB19" s="149"/>
      <c r="AC19" s="149"/>
      <c r="AD19" s="149"/>
      <c r="AE19" s="149"/>
      <c r="AF19" s="149"/>
      <c r="AG19" s="149"/>
      <c r="AH19" s="149"/>
      <c r="AI19" s="149"/>
      <c r="AJ19" s="149"/>
      <c r="AK19" s="149"/>
      <c r="AL19" s="149"/>
      <c r="AM19" s="149"/>
      <c r="AN19" s="149"/>
      <c r="AO19" s="149"/>
      <c r="AP19" s="149"/>
      <c r="AQ19" s="149"/>
      <c r="AR19" s="149"/>
      <c r="AS19" s="149"/>
      <c r="AT19" s="149"/>
      <c r="AU19" s="149"/>
      <c r="AV19" s="149"/>
      <c r="AW19" s="149"/>
      <c r="AX19" s="152"/>
      <c r="AY19" s="149"/>
      <c r="AZ19" s="149"/>
      <c r="BA19" s="149"/>
      <c r="BB19" s="149"/>
      <c r="BC19" s="153"/>
      <c r="BD19" s="149"/>
      <c r="BE19" s="151"/>
      <c r="BF19" s="149"/>
      <c r="BG19" s="149"/>
      <c r="BH19" s="149"/>
      <c r="BI19" s="149"/>
      <c r="BJ19" s="149"/>
      <c r="BK19" s="149"/>
      <c r="BL19" s="149"/>
      <c r="BM19" s="149"/>
      <c r="BN19" s="149"/>
      <c r="BO19" s="149"/>
      <c r="BP19" s="149"/>
      <c r="BQ19" s="149"/>
      <c r="BR19" s="149"/>
      <c r="BS19" s="149"/>
      <c r="BT19" s="149"/>
      <c r="BU19" s="149"/>
      <c r="BV19" s="149"/>
      <c r="BW19" s="149"/>
      <c r="BX19" s="149"/>
      <c r="BY19" s="149"/>
      <c r="BZ19" s="149"/>
      <c r="CA19" s="149"/>
      <c r="CB19" s="149"/>
      <c r="CC19" s="149"/>
      <c r="CD19" s="149"/>
      <c r="CE19" s="149"/>
      <c r="CF19" s="149"/>
      <c r="CG19" s="149"/>
      <c r="CH19" s="149"/>
      <c r="CI19" s="149"/>
      <c r="CJ19" s="149"/>
      <c r="CK19" s="149"/>
      <c r="CL19" s="149"/>
      <c r="CM19" s="149"/>
      <c r="CN19" s="149"/>
      <c r="CO19" s="149"/>
      <c r="CP19" s="149"/>
      <c r="CQ19" s="149"/>
      <c r="CR19" s="149"/>
      <c r="CS19" s="149"/>
      <c r="CT19" s="149"/>
      <c r="CU19" s="149"/>
      <c r="CV19" s="149"/>
      <c r="CW19" s="149"/>
      <c r="CX19" s="149"/>
      <c r="CY19" s="149"/>
      <c r="CZ19" s="149"/>
      <c r="DA19" s="149"/>
      <c r="DB19" s="149"/>
      <c r="DC19" s="149"/>
      <c r="DD19" s="149"/>
      <c r="DE19" s="149"/>
      <c r="DF19" s="149"/>
      <c r="DG19" s="149"/>
      <c r="DH19" s="149"/>
      <c r="DI19" s="149"/>
      <c r="DJ19" s="149"/>
      <c r="DK19" s="149"/>
      <c r="DL19" s="149"/>
      <c r="DM19" s="149"/>
      <c r="DN19" s="149"/>
      <c r="DO19" s="149"/>
      <c r="DP19" s="149"/>
      <c r="DQ19" s="149"/>
      <c r="DR19" s="149"/>
      <c r="DS19" s="149"/>
      <c r="DT19" s="149"/>
      <c r="DU19" s="149"/>
      <c r="DV19" s="149"/>
      <c r="DW19" s="149"/>
      <c r="DX19" s="149"/>
      <c r="DY19" s="149"/>
      <c r="DZ19" s="149"/>
      <c r="EA19" s="149"/>
      <c r="EB19" s="149"/>
      <c r="EC19" s="149"/>
      <c r="ED19" s="149"/>
      <c r="EE19" s="149"/>
      <c r="EF19" s="149"/>
      <c r="EG19" s="149"/>
      <c r="EH19" s="149"/>
      <c r="EI19" s="149"/>
      <c r="EJ19" s="149"/>
      <c r="EK19" s="149"/>
      <c r="EL19" s="149"/>
      <c r="EM19" s="149"/>
      <c r="EN19" s="149"/>
      <c r="EO19" s="149"/>
      <c r="EP19" s="149"/>
      <c r="EQ19" s="149"/>
      <c r="ER19" s="149"/>
      <c r="ES19" s="149"/>
      <c r="ET19" s="149"/>
      <c r="EU19" s="149"/>
      <c r="EV19" s="149"/>
      <c r="EW19" s="149"/>
      <c r="EX19" s="149"/>
      <c r="EY19" s="149"/>
      <c r="EZ19" s="149"/>
      <c r="FA19" s="149"/>
      <c r="FB19" s="149"/>
      <c r="FC19" s="149"/>
      <c r="FD19" s="149"/>
      <c r="FE19" s="149"/>
      <c r="FF19" s="149"/>
      <c r="FG19" s="149"/>
      <c r="FH19" s="149"/>
      <c r="FI19" s="149"/>
      <c r="FJ19" s="149"/>
      <c r="FK19" s="149"/>
      <c r="FL19" s="149"/>
      <c r="FM19" s="149"/>
      <c r="FN19" s="149"/>
      <c r="FO19" s="149"/>
      <c r="FP19" s="149"/>
      <c r="FQ19" s="149"/>
      <c r="FR19" s="149"/>
      <c r="FS19" s="149"/>
      <c r="FT19" s="149"/>
      <c r="FU19" s="149"/>
      <c r="FV19" s="149"/>
      <c r="FW19" s="149"/>
      <c r="FX19" s="149"/>
      <c r="FY19" s="149"/>
      <c r="FZ19" s="149"/>
      <c r="GA19" s="149"/>
      <c r="GB19" s="149"/>
      <c r="GC19" s="149"/>
      <c r="GD19" s="149"/>
      <c r="GE19" s="149"/>
    </row>
    <row r="20" spans="1:187">
      <c r="A20" s="149">
        <v>9</v>
      </c>
      <c r="B20" s="149" t="s">
        <v>2009</v>
      </c>
      <c r="C20" s="149" t="str">
        <f t="shared" si="0"/>
        <v>005376</v>
      </c>
      <c r="D20" s="155" t="s">
        <v>2018</v>
      </c>
      <c r="E20" s="149"/>
      <c r="F20" s="150" t="s">
        <v>497</v>
      </c>
      <c r="G20" s="149">
        <v>1</v>
      </c>
      <c r="H20" s="149"/>
      <c r="I20" s="157" t="s">
        <v>2019</v>
      </c>
      <c r="J20" s="149">
        <v>1</v>
      </c>
      <c r="K20" s="149"/>
      <c r="L20" s="149">
        <v>1968</v>
      </c>
      <c r="M20" s="149" t="s">
        <v>490</v>
      </c>
      <c r="N20" s="151">
        <v>100470947</v>
      </c>
      <c r="O20" s="149"/>
      <c r="P20" s="149"/>
      <c r="Q20" s="149"/>
      <c r="R20" s="149"/>
      <c r="S20" s="149" t="s">
        <v>1999</v>
      </c>
      <c r="T20" s="149" t="str">
        <f>VLOOKUP(U20,MaXa_3cap_2cap!$B$2:$C$369,2,0)</f>
        <v>06910</v>
      </c>
      <c r="U20" s="149" t="s">
        <v>1776</v>
      </c>
      <c r="V20" s="149" t="s">
        <v>2000</v>
      </c>
      <c r="W20" s="149"/>
      <c r="X20" s="149"/>
      <c r="Y20" s="150" t="s">
        <v>1777</v>
      </c>
      <c r="Z20" s="157" t="s">
        <v>2020</v>
      </c>
      <c r="AA20" s="149">
        <v>0</v>
      </c>
      <c r="AB20" s="149"/>
      <c r="AC20" s="149">
        <v>1972</v>
      </c>
      <c r="AD20" s="149" t="s">
        <v>490</v>
      </c>
      <c r="AE20" s="160">
        <v>100691675</v>
      </c>
      <c r="AF20" s="149"/>
      <c r="AG20" s="149"/>
      <c r="AH20" s="149"/>
      <c r="AI20" s="149"/>
      <c r="AJ20" s="149" t="s">
        <v>1999</v>
      </c>
      <c r="AK20" s="149" t="str">
        <f>VLOOKUP(AL20,MaXa_3cap_2cap!$B$2:$C$369,2,0)</f>
        <v>06910</v>
      </c>
      <c r="AL20" s="149" t="s">
        <v>1776</v>
      </c>
      <c r="AM20" s="149" t="s">
        <v>2000</v>
      </c>
      <c r="AN20" s="149"/>
      <c r="AO20" s="149"/>
      <c r="AP20" s="149" t="s">
        <v>1777</v>
      </c>
      <c r="AQ20" s="149">
        <v>150</v>
      </c>
      <c r="AR20" s="149">
        <v>43</v>
      </c>
      <c r="AS20" s="149">
        <v>1000</v>
      </c>
      <c r="AT20" s="149"/>
      <c r="AU20" s="149" t="str">
        <f>VLOOKUP(CP20,'TT DO DAC'!$B$2:$G$213,5,0)</f>
        <v>Chi nhánh xí nghiệp tài nguyên và môi trường 7</v>
      </c>
      <c r="AV20" s="149"/>
      <c r="AW20" s="149"/>
      <c r="AX20" s="152">
        <f>VLOOKUP(CP20,'TT DO DAC'!$B$2:$G$213,6,0)</f>
        <v>41274</v>
      </c>
      <c r="AY20" s="149" t="s">
        <v>1852</v>
      </c>
      <c r="AZ20" s="149"/>
      <c r="BA20" s="149"/>
      <c r="BB20" s="149" t="s">
        <v>1028</v>
      </c>
      <c r="BC20" s="153" t="str">
        <f>VLOOKUP(BB20,DM_LoaiDat!$B$2:$C$78,2,0)</f>
        <v xml:space="preserve">LUC </v>
      </c>
      <c r="BD20" s="149" t="str">
        <f t="shared" si="2"/>
        <v xml:space="preserve">LUC </v>
      </c>
      <c r="BE20" s="151">
        <v>635.20000000000005</v>
      </c>
      <c r="BF20" s="149">
        <v>0</v>
      </c>
      <c r="BG20" s="149" t="s">
        <v>1779</v>
      </c>
      <c r="BH20" s="149"/>
      <c r="BI20" s="149" t="s">
        <v>204</v>
      </c>
      <c r="BJ20" s="149" t="str">
        <f>VLOOKUP(BI20,DM_NguonGocSuDungDat!$A$2:$B$24,2,0)</f>
        <v>Nhà nước giao đất không thu tiền sử dụng đất</v>
      </c>
      <c r="BK20" s="149"/>
      <c r="BL20" s="149"/>
      <c r="BM20" s="149"/>
      <c r="BN20" s="149"/>
      <c r="BO20" s="149"/>
      <c r="BP20" s="149"/>
      <c r="BQ20" s="149"/>
      <c r="BR20" s="149"/>
      <c r="BS20" s="149"/>
      <c r="BT20" s="149"/>
      <c r="BU20" s="149"/>
      <c r="BV20" s="149"/>
      <c r="BW20" s="149"/>
      <c r="BX20" s="149"/>
      <c r="BY20" s="149"/>
      <c r="BZ20" s="149"/>
      <c r="CA20" s="149"/>
      <c r="CB20" s="149"/>
      <c r="CC20" s="149"/>
      <c r="CD20" s="149"/>
      <c r="CE20" s="149"/>
      <c r="CF20" s="149"/>
      <c r="CG20" s="149"/>
      <c r="CH20" s="149"/>
      <c r="CI20" s="149"/>
      <c r="CJ20" s="149"/>
      <c r="CK20" s="149"/>
      <c r="CL20" s="149"/>
      <c r="CM20" s="149"/>
      <c r="CN20" s="149"/>
      <c r="CO20" s="149"/>
      <c r="CP20" s="149" t="s">
        <v>1776</v>
      </c>
      <c r="CQ20" s="149" t="s">
        <v>2000</v>
      </c>
      <c r="CR20" s="149"/>
      <c r="CS20" s="149"/>
      <c r="CT20" s="149">
        <v>0</v>
      </c>
      <c r="CU20" s="149"/>
      <c r="CV20" s="149" t="s">
        <v>424</v>
      </c>
      <c r="CW20" s="149" t="s">
        <v>2021</v>
      </c>
      <c r="CX20" s="149"/>
      <c r="CY20" s="149" t="s">
        <v>2022</v>
      </c>
      <c r="CZ20" s="149" t="s">
        <v>1780</v>
      </c>
      <c r="DA20" s="149">
        <v>0</v>
      </c>
      <c r="DB20" s="149">
        <v>1</v>
      </c>
      <c r="DC20" s="149">
        <v>2021</v>
      </c>
      <c r="DD20" s="149"/>
      <c r="DE20" s="149"/>
      <c r="DF20" s="149"/>
      <c r="DG20" s="149"/>
      <c r="DH20" s="149"/>
      <c r="DI20" s="149"/>
      <c r="DJ20" s="149"/>
      <c r="DK20" s="149"/>
      <c r="DL20" s="149"/>
      <c r="DM20" s="149"/>
      <c r="DN20" s="149"/>
      <c r="DO20" s="149"/>
      <c r="DP20" s="149"/>
      <c r="DQ20" s="149"/>
      <c r="DR20" s="149"/>
      <c r="DS20" s="149"/>
      <c r="DT20" s="149"/>
      <c r="DU20" s="149"/>
      <c r="DV20" s="149"/>
      <c r="DW20" s="149"/>
      <c r="DX20" s="149"/>
      <c r="DY20" s="149"/>
      <c r="DZ20" s="149"/>
      <c r="EA20" s="149"/>
      <c r="EB20" s="149"/>
      <c r="EC20" s="149"/>
      <c r="ED20" s="149"/>
      <c r="EE20" s="149"/>
      <c r="EF20" s="149"/>
      <c r="EG20" s="149"/>
      <c r="EH20" s="149"/>
      <c r="EI20" s="149"/>
      <c r="EJ20" s="149"/>
      <c r="EK20" s="149"/>
      <c r="EL20" s="149"/>
      <c r="EM20" s="149"/>
      <c r="EN20" s="149"/>
      <c r="EO20" s="149"/>
      <c r="EP20" s="149"/>
      <c r="EQ20" s="149"/>
      <c r="ER20" s="149"/>
      <c r="ES20" s="149"/>
      <c r="ET20" s="149"/>
      <c r="EU20" s="149"/>
      <c r="EV20" s="149"/>
      <c r="EW20" s="149"/>
      <c r="EX20" s="149"/>
      <c r="EY20" s="149"/>
      <c r="EZ20" s="149"/>
      <c r="FA20" s="149"/>
      <c r="FB20" s="149"/>
      <c r="FC20" s="149"/>
      <c r="FD20" s="149"/>
      <c r="FE20" s="149"/>
      <c r="FF20" s="149"/>
      <c r="FG20" s="149"/>
      <c r="FH20" s="149"/>
      <c r="FI20" s="149"/>
      <c r="FJ20" s="149"/>
      <c r="FK20" s="149"/>
      <c r="FL20" s="149"/>
      <c r="FM20" s="149"/>
      <c r="FN20" s="149"/>
      <c r="FO20" s="149"/>
      <c r="FP20" s="149"/>
      <c r="FQ20" s="149"/>
      <c r="FR20" s="149"/>
      <c r="FS20" s="149"/>
      <c r="FT20" s="149"/>
      <c r="FU20" s="149"/>
      <c r="FV20" s="149"/>
      <c r="FW20" s="149"/>
      <c r="FX20" s="149"/>
      <c r="FY20" s="149"/>
      <c r="FZ20" s="149"/>
      <c r="GA20" s="149"/>
      <c r="GB20" s="149" t="s">
        <v>2009</v>
      </c>
      <c r="GC20" s="149"/>
      <c r="GD20" s="149"/>
      <c r="GE20" s="149"/>
    </row>
    <row r="21" spans="1:187">
      <c r="A21" s="149">
        <v>10</v>
      </c>
      <c r="B21" s="149" t="s">
        <v>2009</v>
      </c>
      <c r="C21" s="149" t="str">
        <f t="shared" si="0"/>
        <v>005376</v>
      </c>
      <c r="D21" s="155" t="s">
        <v>2018</v>
      </c>
      <c r="E21" s="149"/>
      <c r="F21" s="150" t="s">
        <v>497</v>
      </c>
      <c r="G21" s="149">
        <v>1</v>
      </c>
      <c r="H21" s="149"/>
      <c r="I21" s="157" t="s">
        <v>2019</v>
      </c>
      <c r="J21" s="149">
        <v>1</v>
      </c>
      <c r="K21" s="149"/>
      <c r="L21" s="149">
        <v>1968</v>
      </c>
      <c r="M21" s="149" t="s">
        <v>490</v>
      </c>
      <c r="N21" s="151">
        <v>100470947</v>
      </c>
      <c r="O21" s="149"/>
      <c r="P21" s="149"/>
      <c r="Q21" s="149"/>
      <c r="R21" s="149"/>
      <c r="S21" s="149" t="s">
        <v>1999</v>
      </c>
      <c r="T21" s="149" t="str">
        <f>VLOOKUP(U21,MaXa_3cap_2cap!$B$2:$C$369,2,0)</f>
        <v>06910</v>
      </c>
      <c r="U21" s="149" t="s">
        <v>1776</v>
      </c>
      <c r="V21" s="149" t="s">
        <v>2000</v>
      </c>
      <c r="W21" s="149"/>
      <c r="X21" s="149"/>
      <c r="Y21" s="150" t="s">
        <v>1777</v>
      </c>
      <c r="Z21" s="157" t="s">
        <v>2020</v>
      </c>
      <c r="AA21" s="149">
        <v>0</v>
      </c>
      <c r="AB21" s="149"/>
      <c r="AC21" s="149">
        <v>1972</v>
      </c>
      <c r="AD21" s="149" t="s">
        <v>490</v>
      </c>
      <c r="AE21" s="160">
        <v>100691675</v>
      </c>
      <c r="AF21" s="149"/>
      <c r="AG21" s="149"/>
      <c r="AH21" s="149"/>
      <c r="AI21" s="149"/>
      <c r="AJ21" s="149" t="s">
        <v>1999</v>
      </c>
      <c r="AK21" s="149" t="str">
        <f>VLOOKUP(AL21,MaXa_3cap_2cap!$B$2:$C$369,2,0)</f>
        <v>06910</v>
      </c>
      <c r="AL21" s="149" t="s">
        <v>1776</v>
      </c>
      <c r="AM21" s="149" t="s">
        <v>2000</v>
      </c>
      <c r="AN21" s="149"/>
      <c r="AO21" s="149"/>
      <c r="AP21" s="149" t="s">
        <v>1777</v>
      </c>
      <c r="AQ21" s="149">
        <v>147</v>
      </c>
      <c r="AR21" s="149">
        <v>43</v>
      </c>
      <c r="AS21" s="149">
        <v>1000</v>
      </c>
      <c r="AT21" s="149"/>
      <c r="AU21" s="149" t="str">
        <f>VLOOKUP(CP21,'TT DO DAC'!$B$2:$G$213,5,0)</f>
        <v>Chi nhánh xí nghiệp tài nguyên và môi trường 7</v>
      </c>
      <c r="AV21" s="149"/>
      <c r="AW21" s="149"/>
      <c r="AX21" s="152">
        <f>VLOOKUP(CP21,'TT DO DAC'!$B$2:$G$213,6,0)</f>
        <v>41274</v>
      </c>
      <c r="AY21" s="149" t="s">
        <v>1852</v>
      </c>
      <c r="AZ21" s="149"/>
      <c r="BA21" s="149"/>
      <c r="BB21" s="149" t="s">
        <v>1028</v>
      </c>
      <c r="BC21" s="153" t="str">
        <f>VLOOKUP(BB21,DM_LoaiDat!$B$2:$C$78,2,0)</f>
        <v xml:space="preserve">LUC </v>
      </c>
      <c r="BD21" s="149" t="str">
        <f t="shared" si="2"/>
        <v xml:space="preserve">LUC </v>
      </c>
      <c r="BE21" s="151">
        <v>678</v>
      </c>
      <c r="BF21" s="149">
        <v>0</v>
      </c>
      <c r="BG21" s="149" t="s">
        <v>1779</v>
      </c>
      <c r="BH21" s="149"/>
      <c r="BI21" s="149" t="s">
        <v>204</v>
      </c>
      <c r="BJ21" s="149" t="str">
        <f>VLOOKUP(BI21,DM_NguonGocSuDungDat!$A$2:$B$24,2,0)</f>
        <v>Nhà nước giao đất không thu tiền sử dụng đất</v>
      </c>
      <c r="BK21" s="149"/>
      <c r="BL21" s="149"/>
      <c r="BM21" s="149"/>
      <c r="BN21" s="149"/>
      <c r="BO21" s="149"/>
      <c r="BP21" s="149"/>
      <c r="BQ21" s="149"/>
      <c r="BR21" s="149"/>
      <c r="BS21" s="149"/>
      <c r="BT21" s="149"/>
      <c r="BU21" s="149"/>
      <c r="BV21" s="149"/>
      <c r="BW21" s="149"/>
      <c r="BX21" s="149"/>
      <c r="BY21" s="149"/>
      <c r="BZ21" s="149"/>
      <c r="CA21" s="149"/>
      <c r="CB21" s="149"/>
      <c r="CC21" s="149"/>
      <c r="CD21" s="149"/>
      <c r="CE21" s="149"/>
      <c r="CF21" s="149"/>
      <c r="CG21" s="149"/>
      <c r="CH21" s="149"/>
      <c r="CI21" s="149"/>
      <c r="CJ21" s="149"/>
      <c r="CK21" s="149"/>
      <c r="CL21" s="149"/>
      <c r="CM21" s="149"/>
      <c r="CN21" s="149"/>
      <c r="CO21" s="149"/>
      <c r="CP21" s="149" t="s">
        <v>1776</v>
      </c>
      <c r="CQ21" s="149" t="s">
        <v>2000</v>
      </c>
      <c r="CR21" s="149"/>
      <c r="CS21" s="149"/>
      <c r="CT21" s="149">
        <v>0</v>
      </c>
      <c r="CU21" s="149"/>
      <c r="CV21" s="149" t="s">
        <v>424</v>
      </c>
      <c r="CW21" s="149" t="s">
        <v>2021</v>
      </c>
      <c r="CX21" s="149"/>
      <c r="CY21" s="149" t="s">
        <v>2022</v>
      </c>
      <c r="CZ21" s="149" t="s">
        <v>1780</v>
      </c>
      <c r="DA21" s="149">
        <v>0</v>
      </c>
      <c r="DB21" s="149">
        <v>1</v>
      </c>
      <c r="DC21" s="149">
        <v>2021</v>
      </c>
      <c r="DD21" s="149"/>
      <c r="DE21" s="149"/>
      <c r="DF21" s="149"/>
      <c r="DG21" s="149"/>
      <c r="DH21" s="149"/>
      <c r="DI21" s="149"/>
      <c r="DJ21" s="149"/>
      <c r="DK21" s="149"/>
      <c r="DL21" s="149"/>
      <c r="DM21" s="149"/>
      <c r="DN21" s="149"/>
      <c r="DO21" s="149"/>
      <c r="DP21" s="149"/>
      <c r="DQ21" s="149"/>
      <c r="DR21" s="149"/>
      <c r="DS21" s="149"/>
      <c r="DT21" s="149"/>
      <c r="DU21" s="149"/>
      <c r="DV21" s="149"/>
      <c r="DW21" s="149"/>
      <c r="DX21" s="149"/>
      <c r="DY21" s="149"/>
      <c r="DZ21" s="149"/>
      <c r="EA21" s="149"/>
      <c r="EB21" s="149"/>
      <c r="EC21" s="149"/>
      <c r="ED21" s="149"/>
      <c r="EE21" s="149"/>
      <c r="EF21" s="149"/>
      <c r="EG21" s="149"/>
      <c r="EH21" s="149"/>
      <c r="EI21" s="149"/>
      <c r="EJ21" s="149"/>
      <c r="EK21" s="149"/>
      <c r="EL21" s="149"/>
      <c r="EM21" s="149"/>
      <c r="EN21" s="149"/>
      <c r="EO21" s="149"/>
      <c r="EP21" s="149"/>
      <c r="EQ21" s="149"/>
      <c r="ER21" s="149"/>
      <c r="ES21" s="149"/>
      <c r="ET21" s="149"/>
      <c r="EU21" s="149"/>
      <c r="EV21" s="149"/>
      <c r="EW21" s="149"/>
      <c r="EX21" s="149"/>
      <c r="EY21" s="149"/>
      <c r="EZ21" s="149"/>
      <c r="FA21" s="149"/>
      <c r="FB21" s="149"/>
      <c r="FC21" s="149"/>
      <c r="FD21" s="149"/>
      <c r="FE21" s="149"/>
      <c r="FF21" s="149"/>
      <c r="FG21" s="149"/>
      <c r="FH21" s="149"/>
      <c r="FI21" s="149"/>
      <c r="FJ21" s="149"/>
      <c r="FK21" s="149"/>
      <c r="FL21" s="149"/>
      <c r="FM21" s="149"/>
      <c r="FN21" s="149"/>
      <c r="FO21" s="149"/>
      <c r="FP21" s="149"/>
      <c r="FQ21" s="149"/>
      <c r="FR21" s="149"/>
      <c r="FS21" s="149"/>
      <c r="FT21" s="149"/>
      <c r="FU21" s="149"/>
      <c r="FV21" s="149"/>
      <c r="FW21" s="149"/>
      <c r="FX21" s="149"/>
      <c r="FY21" s="149"/>
      <c r="FZ21" s="149"/>
      <c r="GA21" s="149"/>
      <c r="GB21" s="149" t="s">
        <v>2009</v>
      </c>
      <c r="GC21" s="149"/>
      <c r="GD21" s="149"/>
      <c r="GE21" s="149"/>
    </row>
    <row r="22" spans="1:187">
      <c r="A22" s="149">
        <v>11</v>
      </c>
      <c r="B22" s="149" t="s">
        <v>2009</v>
      </c>
      <c r="C22" s="149" t="str">
        <f t="shared" si="0"/>
        <v>005376</v>
      </c>
      <c r="D22" s="155" t="s">
        <v>2018</v>
      </c>
      <c r="E22" s="149"/>
      <c r="F22" s="150" t="s">
        <v>497</v>
      </c>
      <c r="G22" s="149">
        <v>1</v>
      </c>
      <c r="H22" s="149"/>
      <c r="I22" s="157" t="s">
        <v>2019</v>
      </c>
      <c r="J22" s="149">
        <v>1</v>
      </c>
      <c r="K22" s="149"/>
      <c r="L22" s="149">
        <v>1968</v>
      </c>
      <c r="M22" s="149" t="s">
        <v>490</v>
      </c>
      <c r="N22" s="151">
        <v>100470947</v>
      </c>
      <c r="O22" s="149"/>
      <c r="P22" s="149"/>
      <c r="Q22" s="149"/>
      <c r="R22" s="149"/>
      <c r="S22" s="149" t="s">
        <v>1999</v>
      </c>
      <c r="T22" s="149" t="str">
        <f>VLOOKUP(U22,MaXa_3cap_2cap!$B$2:$C$369,2,0)</f>
        <v>06910</v>
      </c>
      <c r="U22" s="149" t="s">
        <v>1776</v>
      </c>
      <c r="V22" s="149" t="s">
        <v>2000</v>
      </c>
      <c r="W22" s="149"/>
      <c r="X22" s="149"/>
      <c r="Y22" s="150" t="s">
        <v>1777</v>
      </c>
      <c r="Z22" s="157" t="s">
        <v>2020</v>
      </c>
      <c r="AA22" s="149">
        <v>0</v>
      </c>
      <c r="AB22" s="149"/>
      <c r="AC22" s="149">
        <v>1972</v>
      </c>
      <c r="AD22" s="149" t="s">
        <v>490</v>
      </c>
      <c r="AE22" s="160">
        <v>100691675</v>
      </c>
      <c r="AF22" s="149"/>
      <c r="AG22" s="149"/>
      <c r="AH22" s="149"/>
      <c r="AI22" s="149"/>
      <c r="AJ22" s="149" t="s">
        <v>1999</v>
      </c>
      <c r="AK22" s="149" t="str">
        <f>VLOOKUP(AL22,MaXa_3cap_2cap!$B$2:$C$369,2,0)</f>
        <v>06910</v>
      </c>
      <c r="AL22" s="149" t="s">
        <v>1776</v>
      </c>
      <c r="AM22" s="149" t="s">
        <v>2000</v>
      </c>
      <c r="AN22" s="149"/>
      <c r="AO22" s="149"/>
      <c r="AP22" s="149" t="s">
        <v>1777</v>
      </c>
      <c r="AQ22" s="149">
        <v>62</v>
      </c>
      <c r="AR22" s="149">
        <v>43</v>
      </c>
      <c r="AS22" s="149">
        <v>1000</v>
      </c>
      <c r="AT22" s="149"/>
      <c r="AU22" s="149" t="str">
        <f>VLOOKUP(CP22,'TT DO DAC'!$B$2:$G$213,5,0)</f>
        <v>Chi nhánh xí nghiệp tài nguyên và môi trường 7</v>
      </c>
      <c r="AV22" s="149"/>
      <c r="AW22" s="149"/>
      <c r="AX22" s="152">
        <f>VLOOKUP(CP22,'TT DO DAC'!$B$2:$G$213,6,0)</f>
        <v>41274</v>
      </c>
      <c r="AY22" s="149" t="s">
        <v>1852</v>
      </c>
      <c r="AZ22" s="149"/>
      <c r="BA22" s="149"/>
      <c r="BB22" s="149" t="s">
        <v>1028</v>
      </c>
      <c r="BC22" s="153" t="str">
        <f>VLOOKUP(BB22,DM_LoaiDat!$B$2:$C$78,2,0)</f>
        <v xml:space="preserve">LUC </v>
      </c>
      <c r="BD22" s="149" t="str">
        <f t="shared" si="2"/>
        <v xml:space="preserve">LUC </v>
      </c>
      <c r="BE22" s="151">
        <v>161.1</v>
      </c>
      <c r="BF22" s="149">
        <v>0</v>
      </c>
      <c r="BG22" s="149" t="s">
        <v>1779</v>
      </c>
      <c r="BH22" s="149"/>
      <c r="BI22" s="149" t="s">
        <v>204</v>
      </c>
      <c r="BJ22" s="149" t="str">
        <f>VLOOKUP(BI22,DM_NguonGocSuDungDat!$A$2:$B$24,2,0)</f>
        <v>Nhà nước giao đất không thu tiền sử dụng đất</v>
      </c>
      <c r="BK22" s="149"/>
      <c r="BL22" s="149"/>
      <c r="BM22" s="149"/>
      <c r="BN22" s="149"/>
      <c r="BO22" s="149"/>
      <c r="BP22" s="149"/>
      <c r="BQ22" s="149"/>
      <c r="BR22" s="149"/>
      <c r="BS22" s="149"/>
      <c r="BT22" s="149"/>
      <c r="BU22" s="149"/>
      <c r="BV22" s="149"/>
      <c r="BW22" s="149"/>
      <c r="BX22" s="149"/>
      <c r="BY22" s="149"/>
      <c r="BZ22" s="149"/>
      <c r="CA22" s="149"/>
      <c r="CB22" s="149"/>
      <c r="CC22" s="149"/>
      <c r="CD22" s="149"/>
      <c r="CE22" s="149"/>
      <c r="CF22" s="149"/>
      <c r="CG22" s="149"/>
      <c r="CH22" s="149"/>
      <c r="CI22" s="149"/>
      <c r="CJ22" s="149"/>
      <c r="CK22" s="149"/>
      <c r="CL22" s="149"/>
      <c r="CM22" s="149"/>
      <c r="CN22" s="149"/>
      <c r="CO22" s="149"/>
      <c r="CP22" s="149" t="s">
        <v>1776</v>
      </c>
      <c r="CQ22" s="149" t="s">
        <v>2000</v>
      </c>
      <c r="CR22" s="149"/>
      <c r="CS22" s="149"/>
      <c r="CT22" s="149">
        <v>0</v>
      </c>
      <c r="CU22" s="149"/>
      <c r="CV22" s="149" t="s">
        <v>424</v>
      </c>
      <c r="CW22" s="149" t="s">
        <v>2021</v>
      </c>
      <c r="CX22" s="149"/>
      <c r="CY22" s="149" t="s">
        <v>2022</v>
      </c>
      <c r="CZ22" s="149" t="s">
        <v>1780</v>
      </c>
      <c r="DA22" s="149">
        <v>0</v>
      </c>
      <c r="DB22" s="149">
        <v>1</v>
      </c>
      <c r="DC22" s="149">
        <v>2021</v>
      </c>
      <c r="DD22" s="149"/>
      <c r="DE22" s="149"/>
      <c r="DF22" s="149"/>
      <c r="DG22" s="149"/>
      <c r="DH22" s="149"/>
      <c r="DI22" s="149"/>
      <c r="DJ22" s="149"/>
      <c r="DK22" s="149"/>
      <c r="DL22" s="149"/>
      <c r="DM22" s="149"/>
      <c r="DN22" s="149"/>
      <c r="DO22" s="149"/>
      <c r="DP22" s="149"/>
      <c r="DQ22" s="149"/>
      <c r="DR22" s="149"/>
      <c r="DS22" s="149"/>
      <c r="DT22" s="149"/>
      <c r="DU22" s="149"/>
      <c r="DV22" s="149"/>
      <c r="DW22" s="149"/>
      <c r="DX22" s="149"/>
      <c r="DY22" s="149"/>
      <c r="DZ22" s="149"/>
      <c r="EA22" s="149"/>
      <c r="EB22" s="149"/>
      <c r="EC22" s="149"/>
      <c r="ED22" s="149"/>
      <c r="EE22" s="149"/>
      <c r="EF22" s="149"/>
      <c r="EG22" s="149"/>
      <c r="EH22" s="149"/>
      <c r="EI22" s="149"/>
      <c r="EJ22" s="149"/>
      <c r="EK22" s="149"/>
      <c r="EL22" s="149"/>
      <c r="EM22" s="149"/>
      <c r="EN22" s="149"/>
      <c r="EO22" s="149"/>
      <c r="EP22" s="149"/>
      <c r="EQ22" s="149"/>
      <c r="ER22" s="149"/>
      <c r="ES22" s="149"/>
      <c r="ET22" s="149"/>
      <c r="EU22" s="149"/>
      <c r="EV22" s="149"/>
      <c r="EW22" s="149"/>
      <c r="EX22" s="149"/>
      <c r="EY22" s="149"/>
      <c r="EZ22" s="149"/>
      <c r="FA22" s="149"/>
      <c r="FB22" s="149"/>
      <c r="FC22" s="149"/>
      <c r="FD22" s="149"/>
      <c r="FE22" s="149"/>
      <c r="FF22" s="149"/>
      <c r="FG22" s="149"/>
      <c r="FH22" s="149"/>
      <c r="FI22" s="149"/>
      <c r="FJ22" s="149"/>
      <c r="FK22" s="149"/>
      <c r="FL22" s="149"/>
      <c r="FM22" s="149"/>
      <c r="FN22" s="149"/>
      <c r="FO22" s="149"/>
      <c r="FP22" s="149"/>
      <c r="FQ22" s="149"/>
      <c r="FR22" s="149"/>
      <c r="FS22" s="149"/>
      <c r="FT22" s="149"/>
      <c r="FU22" s="149"/>
      <c r="FV22" s="149"/>
      <c r="FW22" s="149"/>
      <c r="FX22" s="149"/>
      <c r="FY22" s="149"/>
      <c r="FZ22" s="149"/>
      <c r="GA22" s="149"/>
      <c r="GB22" s="149" t="s">
        <v>2009</v>
      </c>
      <c r="GC22" s="149"/>
      <c r="GD22" s="149"/>
      <c r="GE22" s="149"/>
    </row>
    <row r="23" spans="1:187">
      <c r="A23" s="149">
        <v>12</v>
      </c>
      <c r="B23" s="149" t="s">
        <v>2009</v>
      </c>
      <c r="C23" s="149" t="str">
        <f t="shared" si="0"/>
        <v>005376</v>
      </c>
      <c r="D23" s="155" t="s">
        <v>2018</v>
      </c>
      <c r="E23" s="149"/>
      <c r="F23" s="150" t="s">
        <v>497</v>
      </c>
      <c r="G23" s="149">
        <v>1</v>
      </c>
      <c r="H23" s="149"/>
      <c r="I23" s="157" t="s">
        <v>2019</v>
      </c>
      <c r="J23" s="149">
        <v>1</v>
      </c>
      <c r="K23" s="149"/>
      <c r="L23" s="149">
        <v>1968</v>
      </c>
      <c r="M23" s="149" t="s">
        <v>490</v>
      </c>
      <c r="N23" s="151">
        <v>100470947</v>
      </c>
      <c r="O23" s="149"/>
      <c r="P23" s="149"/>
      <c r="Q23" s="149"/>
      <c r="R23" s="149"/>
      <c r="S23" s="149" t="s">
        <v>1999</v>
      </c>
      <c r="T23" s="149" t="str">
        <f>VLOOKUP(U23,MaXa_3cap_2cap!$B$2:$C$369,2,0)</f>
        <v>06910</v>
      </c>
      <c r="U23" s="149" t="s">
        <v>1776</v>
      </c>
      <c r="V23" s="149" t="s">
        <v>2000</v>
      </c>
      <c r="W23" s="149"/>
      <c r="X23" s="149"/>
      <c r="Y23" s="150" t="s">
        <v>1777</v>
      </c>
      <c r="Z23" s="157" t="s">
        <v>2020</v>
      </c>
      <c r="AA23" s="149">
        <v>0</v>
      </c>
      <c r="AB23" s="149"/>
      <c r="AC23" s="149">
        <v>1972</v>
      </c>
      <c r="AD23" s="149" t="s">
        <v>490</v>
      </c>
      <c r="AE23" s="160">
        <v>100691675</v>
      </c>
      <c r="AF23" s="149"/>
      <c r="AG23" s="149"/>
      <c r="AH23" s="149"/>
      <c r="AI23" s="149"/>
      <c r="AJ23" s="149" t="s">
        <v>1999</v>
      </c>
      <c r="AK23" s="149" t="str">
        <f>VLOOKUP(AL23,MaXa_3cap_2cap!$B$2:$C$369,2,0)</f>
        <v>06910</v>
      </c>
      <c r="AL23" s="149" t="s">
        <v>1776</v>
      </c>
      <c r="AM23" s="149" t="s">
        <v>2000</v>
      </c>
      <c r="AN23" s="149"/>
      <c r="AO23" s="149"/>
      <c r="AP23" s="149" t="s">
        <v>1777</v>
      </c>
      <c r="AQ23" s="149">
        <v>51</v>
      </c>
      <c r="AR23" s="149">
        <v>43</v>
      </c>
      <c r="AS23" s="149">
        <v>1000</v>
      </c>
      <c r="AT23" s="149"/>
      <c r="AU23" s="149" t="str">
        <f>VLOOKUP(CP23,'TT DO DAC'!$B$2:$G$213,5,0)</f>
        <v>Chi nhánh xí nghiệp tài nguyên và môi trường 7</v>
      </c>
      <c r="AV23" s="149"/>
      <c r="AW23" s="149"/>
      <c r="AX23" s="152">
        <f>VLOOKUP(CP23,'TT DO DAC'!$B$2:$G$213,6,0)</f>
        <v>41274</v>
      </c>
      <c r="AY23" s="149" t="s">
        <v>1852</v>
      </c>
      <c r="AZ23" s="149"/>
      <c r="BA23" s="149"/>
      <c r="BB23" s="149" t="s">
        <v>1028</v>
      </c>
      <c r="BC23" s="153" t="str">
        <f>VLOOKUP(BB23,DM_LoaiDat!$B$2:$C$78,2,0)</f>
        <v xml:space="preserve">LUC </v>
      </c>
      <c r="BD23" s="149" t="str">
        <f t="shared" si="2"/>
        <v xml:space="preserve">LUC </v>
      </c>
      <c r="BE23" s="151">
        <v>284.89999999999998</v>
      </c>
      <c r="BF23" s="149">
        <v>0</v>
      </c>
      <c r="BG23" s="149" t="s">
        <v>1779</v>
      </c>
      <c r="BH23" s="149"/>
      <c r="BI23" s="149" t="s">
        <v>204</v>
      </c>
      <c r="BJ23" s="149" t="str">
        <f>VLOOKUP(BI23,DM_NguonGocSuDungDat!$A$2:$B$24,2,0)</f>
        <v>Nhà nước giao đất không thu tiền sử dụng đất</v>
      </c>
      <c r="BK23" s="149"/>
      <c r="BL23" s="149"/>
      <c r="BM23" s="149"/>
      <c r="BN23" s="149"/>
      <c r="BO23" s="149"/>
      <c r="BP23" s="149"/>
      <c r="BQ23" s="149"/>
      <c r="BR23" s="149"/>
      <c r="BS23" s="149"/>
      <c r="BT23" s="149"/>
      <c r="BU23" s="149"/>
      <c r="BV23" s="149"/>
      <c r="BW23" s="149"/>
      <c r="BX23" s="149"/>
      <c r="BY23" s="149"/>
      <c r="BZ23" s="149"/>
      <c r="CA23" s="149"/>
      <c r="CB23" s="149"/>
      <c r="CC23" s="149"/>
      <c r="CD23" s="149"/>
      <c r="CE23" s="149"/>
      <c r="CF23" s="149"/>
      <c r="CG23" s="149"/>
      <c r="CH23" s="149"/>
      <c r="CI23" s="149"/>
      <c r="CJ23" s="149"/>
      <c r="CK23" s="149"/>
      <c r="CL23" s="149"/>
      <c r="CM23" s="149"/>
      <c r="CN23" s="149"/>
      <c r="CO23" s="149"/>
      <c r="CP23" s="149" t="s">
        <v>1776</v>
      </c>
      <c r="CQ23" s="149" t="s">
        <v>2000</v>
      </c>
      <c r="CR23" s="149"/>
      <c r="CS23" s="149"/>
      <c r="CT23" s="149">
        <v>0</v>
      </c>
      <c r="CU23" s="149"/>
      <c r="CV23" s="149" t="s">
        <v>424</v>
      </c>
      <c r="CW23" s="149" t="s">
        <v>2021</v>
      </c>
      <c r="CX23" s="149"/>
      <c r="CY23" s="149" t="s">
        <v>2022</v>
      </c>
      <c r="CZ23" s="149" t="s">
        <v>1780</v>
      </c>
      <c r="DA23" s="149">
        <v>0</v>
      </c>
      <c r="DB23" s="149">
        <v>1</v>
      </c>
      <c r="DC23" s="149">
        <v>2021</v>
      </c>
      <c r="DD23" s="149"/>
      <c r="DE23" s="149"/>
      <c r="DF23" s="149"/>
      <c r="DG23" s="149"/>
      <c r="DH23" s="149"/>
      <c r="DI23" s="149"/>
      <c r="DJ23" s="149"/>
      <c r="DK23" s="149"/>
      <c r="DL23" s="149"/>
      <c r="DM23" s="149"/>
      <c r="DN23" s="149"/>
      <c r="DO23" s="149"/>
      <c r="DP23" s="149"/>
      <c r="DQ23" s="149"/>
      <c r="DR23" s="149"/>
      <c r="DS23" s="149"/>
      <c r="DT23" s="149"/>
      <c r="DU23" s="149"/>
      <c r="DV23" s="149"/>
      <c r="DW23" s="149"/>
      <c r="DX23" s="149"/>
      <c r="DY23" s="149"/>
      <c r="DZ23" s="149"/>
      <c r="EA23" s="149"/>
      <c r="EB23" s="149"/>
      <c r="EC23" s="149"/>
      <c r="ED23" s="149"/>
      <c r="EE23" s="149"/>
      <c r="EF23" s="149"/>
      <c r="EG23" s="149"/>
      <c r="EH23" s="149"/>
      <c r="EI23" s="149"/>
      <c r="EJ23" s="149"/>
      <c r="EK23" s="149"/>
      <c r="EL23" s="149"/>
      <c r="EM23" s="149"/>
      <c r="EN23" s="149"/>
      <c r="EO23" s="149"/>
      <c r="EP23" s="149"/>
      <c r="EQ23" s="149"/>
      <c r="ER23" s="149"/>
      <c r="ES23" s="149"/>
      <c r="ET23" s="149"/>
      <c r="EU23" s="149"/>
      <c r="EV23" s="149"/>
      <c r="EW23" s="149"/>
      <c r="EX23" s="149"/>
      <c r="EY23" s="149"/>
      <c r="EZ23" s="149"/>
      <c r="FA23" s="149"/>
      <c r="FB23" s="149"/>
      <c r="FC23" s="149"/>
      <c r="FD23" s="149"/>
      <c r="FE23" s="149"/>
      <c r="FF23" s="149"/>
      <c r="FG23" s="149"/>
      <c r="FH23" s="149"/>
      <c r="FI23" s="149"/>
      <c r="FJ23" s="149"/>
      <c r="FK23" s="149"/>
      <c r="FL23" s="149"/>
      <c r="FM23" s="149"/>
      <c r="FN23" s="149"/>
      <c r="FO23" s="149"/>
      <c r="FP23" s="149"/>
      <c r="FQ23" s="149"/>
      <c r="FR23" s="149"/>
      <c r="FS23" s="149"/>
      <c r="FT23" s="149"/>
      <c r="FU23" s="149"/>
      <c r="FV23" s="149"/>
      <c r="FW23" s="149"/>
      <c r="FX23" s="149"/>
      <c r="FY23" s="149"/>
      <c r="FZ23" s="149"/>
      <c r="GA23" s="149"/>
      <c r="GB23" s="149" t="s">
        <v>2009</v>
      </c>
      <c r="GC23" s="149"/>
      <c r="GD23" s="149"/>
      <c r="GE23" s="149"/>
    </row>
    <row r="24" spans="1:187">
      <c r="A24" s="159">
        <v>0.64444444444444449</v>
      </c>
      <c r="B24" s="149"/>
      <c r="C24" s="149" t="str">
        <f t="shared" si="0"/>
        <v/>
      </c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51"/>
      <c r="O24" s="149"/>
      <c r="P24" s="149"/>
      <c r="Q24" s="149"/>
      <c r="R24" s="149"/>
      <c r="S24" s="149"/>
      <c r="T24" s="149"/>
      <c r="U24" s="149"/>
      <c r="V24" s="149"/>
      <c r="W24" s="149"/>
      <c r="X24" s="149"/>
      <c r="Y24" s="149"/>
      <c r="Z24" s="149"/>
      <c r="AA24" s="149"/>
      <c r="AB24" s="149"/>
      <c r="AC24" s="149"/>
      <c r="AD24" s="149"/>
      <c r="AE24" s="149"/>
      <c r="AF24" s="149"/>
      <c r="AG24" s="149"/>
      <c r="AH24" s="149"/>
      <c r="AI24" s="149"/>
      <c r="AJ24" s="149"/>
      <c r="AK24" s="149"/>
      <c r="AL24" s="149"/>
      <c r="AM24" s="149"/>
      <c r="AN24" s="149"/>
      <c r="AO24" s="149"/>
      <c r="AP24" s="149"/>
      <c r="AQ24" s="149"/>
      <c r="AR24" s="149"/>
      <c r="AS24" s="149"/>
      <c r="AT24" s="149"/>
      <c r="AU24" s="149"/>
      <c r="AV24" s="149"/>
      <c r="AW24" s="149"/>
      <c r="AX24" s="152"/>
      <c r="AY24" s="149"/>
      <c r="AZ24" s="149"/>
      <c r="BA24" s="149"/>
      <c r="BB24" s="149"/>
      <c r="BC24" s="153"/>
      <c r="BD24" s="149"/>
      <c r="BE24" s="151"/>
      <c r="BF24" s="149"/>
      <c r="BG24" s="149"/>
      <c r="BH24" s="149"/>
      <c r="BI24" s="149"/>
      <c r="BJ24" s="149"/>
      <c r="BK24" s="149"/>
      <c r="BL24" s="149"/>
      <c r="BM24" s="149"/>
      <c r="BN24" s="149"/>
      <c r="BO24" s="149"/>
      <c r="BP24" s="149"/>
      <c r="BQ24" s="149"/>
      <c r="BR24" s="149"/>
      <c r="BS24" s="149"/>
      <c r="BT24" s="149"/>
      <c r="BU24" s="149"/>
      <c r="BV24" s="149"/>
      <c r="BW24" s="149"/>
      <c r="BX24" s="149"/>
      <c r="BY24" s="149"/>
      <c r="BZ24" s="149"/>
      <c r="CA24" s="149"/>
      <c r="CB24" s="149"/>
      <c r="CC24" s="149"/>
      <c r="CD24" s="149"/>
      <c r="CE24" s="149"/>
      <c r="CF24" s="149"/>
      <c r="CG24" s="149"/>
      <c r="CH24" s="149"/>
      <c r="CI24" s="149"/>
      <c r="CJ24" s="149"/>
      <c r="CK24" s="149"/>
      <c r="CL24" s="149"/>
      <c r="CM24" s="149"/>
      <c r="CN24" s="149"/>
      <c r="CO24" s="149"/>
      <c r="CP24" s="149"/>
      <c r="CQ24" s="149"/>
      <c r="CR24" s="149"/>
      <c r="CS24" s="149"/>
      <c r="CT24" s="149"/>
      <c r="CU24" s="149"/>
      <c r="CV24" s="149"/>
      <c r="CW24" s="149"/>
      <c r="CX24" s="149"/>
      <c r="CY24" s="149"/>
      <c r="CZ24" s="149"/>
      <c r="DA24" s="149"/>
      <c r="DB24" s="149"/>
      <c r="DC24" s="149"/>
      <c r="DD24" s="149"/>
      <c r="DE24" s="149"/>
      <c r="DF24" s="149"/>
      <c r="DG24" s="149"/>
      <c r="DH24" s="149"/>
      <c r="DI24" s="149"/>
      <c r="DJ24" s="149"/>
      <c r="DK24" s="149"/>
      <c r="DL24" s="149"/>
      <c r="DM24" s="149"/>
      <c r="DN24" s="149"/>
      <c r="DO24" s="149"/>
      <c r="DP24" s="149"/>
      <c r="DQ24" s="149"/>
      <c r="DR24" s="149"/>
      <c r="DS24" s="149"/>
      <c r="DT24" s="149"/>
      <c r="DU24" s="149"/>
      <c r="DV24" s="149"/>
      <c r="DW24" s="149"/>
      <c r="DX24" s="149"/>
      <c r="DY24" s="149"/>
      <c r="DZ24" s="149"/>
      <c r="EA24" s="149"/>
      <c r="EB24" s="149"/>
      <c r="EC24" s="149"/>
      <c r="ED24" s="149"/>
      <c r="EE24" s="149"/>
      <c r="EF24" s="149"/>
      <c r="EG24" s="149"/>
      <c r="EH24" s="149"/>
      <c r="EI24" s="149"/>
      <c r="EJ24" s="149"/>
      <c r="EK24" s="149"/>
      <c r="EL24" s="149"/>
      <c r="EM24" s="149"/>
      <c r="EN24" s="149"/>
      <c r="EO24" s="149"/>
      <c r="EP24" s="149"/>
      <c r="EQ24" s="149"/>
      <c r="ER24" s="149"/>
      <c r="ES24" s="149"/>
      <c r="ET24" s="149"/>
      <c r="EU24" s="149"/>
      <c r="EV24" s="149"/>
      <c r="EW24" s="149"/>
      <c r="EX24" s="149"/>
      <c r="EY24" s="149"/>
      <c r="EZ24" s="149"/>
      <c r="FA24" s="149"/>
      <c r="FB24" s="149"/>
      <c r="FC24" s="149"/>
      <c r="FD24" s="149"/>
      <c r="FE24" s="149"/>
      <c r="FF24" s="149"/>
      <c r="FG24" s="149"/>
      <c r="FH24" s="149"/>
      <c r="FI24" s="149"/>
      <c r="FJ24" s="149"/>
      <c r="FK24" s="149"/>
      <c r="FL24" s="149"/>
      <c r="FM24" s="149"/>
      <c r="FN24" s="149"/>
      <c r="FO24" s="149"/>
      <c r="FP24" s="149"/>
      <c r="FQ24" s="149"/>
      <c r="FR24" s="149"/>
      <c r="FS24" s="149"/>
      <c r="FT24" s="149"/>
      <c r="FU24" s="149"/>
      <c r="FV24" s="149"/>
      <c r="FW24" s="149"/>
      <c r="FX24" s="149"/>
      <c r="FY24" s="149"/>
      <c r="FZ24" s="149"/>
      <c r="GA24" s="149"/>
      <c r="GB24" s="149"/>
      <c r="GC24" s="149"/>
      <c r="GD24" s="149"/>
      <c r="GE24" s="149"/>
    </row>
    <row r="25" spans="1:187">
      <c r="A25" s="149">
        <v>13</v>
      </c>
      <c r="B25" s="149" t="s">
        <v>2023</v>
      </c>
      <c r="C25" s="149" t="str">
        <f t="shared" si="0"/>
        <v>005380</v>
      </c>
      <c r="D25" s="148" t="s">
        <v>2024</v>
      </c>
      <c r="E25" s="149"/>
      <c r="F25" s="149" t="s">
        <v>497</v>
      </c>
      <c r="G25" s="149">
        <v>1</v>
      </c>
      <c r="H25" s="149"/>
      <c r="I25" s="149" t="s">
        <v>2025</v>
      </c>
      <c r="J25" s="149">
        <v>1</v>
      </c>
      <c r="K25" s="149"/>
      <c r="L25" s="149">
        <v>1966</v>
      </c>
      <c r="M25" s="149" t="s">
        <v>491</v>
      </c>
      <c r="N25" s="161" t="s">
        <v>2027</v>
      </c>
      <c r="O25" s="149"/>
      <c r="P25" s="149"/>
      <c r="Q25" s="149"/>
      <c r="R25" s="149"/>
      <c r="S25" s="149" t="s">
        <v>1999</v>
      </c>
      <c r="T25" s="149" t="str">
        <f>VLOOKUP(U25,MaXa_3cap_2cap!$B$2:$C$369,2,0)</f>
        <v>06910</v>
      </c>
      <c r="U25" s="149" t="s">
        <v>1776</v>
      </c>
      <c r="V25" s="149" t="s">
        <v>2000</v>
      </c>
      <c r="W25" s="149"/>
      <c r="X25" s="149"/>
      <c r="Y25" s="150" t="s">
        <v>1777</v>
      </c>
      <c r="Z25" s="157" t="s">
        <v>2028</v>
      </c>
      <c r="AA25" s="149">
        <v>0</v>
      </c>
      <c r="AB25" s="149"/>
      <c r="AC25" s="149">
        <v>1960</v>
      </c>
      <c r="AD25" s="149" t="s">
        <v>490</v>
      </c>
      <c r="AE25" s="160">
        <v>101068774</v>
      </c>
      <c r="AF25" s="149"/>
      <c r="AG25" s="149"/>
      <c r="AH25" s="149"/>
      <c r="AI25" s="149"/>
      <c r="AJ25" s="149" t="s">
        <v>1999</v>
      </c>
      <c r="AK25" s="149" t="str">
        <f>VLOOKUP(AL25,MaXa_3cap_2cap!$B$2:$C$369,2,0)</f>
        <v>06910</v>
      </c>
      <c r="AL25" s="149" t="s">
        <v>1776</v>
      </c>
      <c r="AM25" s="149" t="s">
        <v>2000</v>
      </c>
      <c r="AN25" s="149"/>
      <c r="AO25" s="149"/>
      <c r="AP25" s="149" t="s">
        <v>1777</v>
      </c>
      <c r="AQ25" s="158">
        <v>75</v>
      </c>
      <c r="AR25" s="149">
        <v>52</v>
      </c>
      <c r="AS25" s="149">
        <v>1000</v>
      </c>
      <c r="AT25" s="149"/>
      <c r="AU25" s="149" t="str">
        <f>VLOOKUP(CP25,'TT DO DAC'!$B$2:$G$213,5,0)</f>
        <v>Chi nhánh xí nghiệp tài nguyên và môi trường 7</v>
      </c>
      <c r="AV25" s="149"/>
      <c r="AW25" s="149"/>
      <c r="AX25" s="152">
        <f>VLOOKUP(CP25,'TT DO DAC'!$B$2:$G$213,6,0)</f>
        <v>41274</v>
      </c>
      <c r="AY25" s="149" t="s">
        <v>1852</v>
      </c>
      <c r="AZ25" s="149"/>
      <c r="BA25" s="149"/>
      <c r="BB25" s="149" t="s">
        <v>1029</v>
      </c>
      <c r="BC25" s="153" t="str">
        <f>VLOOKUP(BB25,DM_LoaiDat!$B$2:$C$78,2,0)</f>
        <v xml:space="preserve">LUK </v>
      </c>
      <c r="BD25" s="149" t="str">
        <f t="shared" si="2"/>
        <v xml:space="preserve">LUK </v>
      </c>
      <c r="BE25" s="151">
        <v>166.5</v>
      </c>
      <c r="BF25" s="149">
        <v>0</v>
      </c>
      <c r="BG25" s="149" t="s">
        <v>1779</v>
      </c>
      <c r="BH25" s="149"/>
      <c r="BI25" s="149" t="s">
        <v>204</v>
      </c>
      <c r="BJ25" s="149" t="str">
        <f>VLOOKUP(BI25,DM_NguonGocSuDungDat!$A$2:$B$24,2,0)</f>
        <v>Nhà nước giao đất không thu tiền sử dụng đất</v>
      </c>
      <c r="BK25" s="149"/>
      <c r="BL25" s="149"/>
      <c r="BM25" s="149"/>
      <c r="BN25" s="149"/>
      <c r="BO25" s="149"/>
      <c r="BP25" s="149"/>
      <c r="BQ25" s="149"/>
      <c r="BR25" s="149"/>
      <c r="BS25" s="149"/>
      <c r="BT25" s="149"/>
      <c r="BU25" s="149"/>
      <c r="BV25" s="149"/>
      <c r="BW25" s="149"/>
      <c r="BX25" s="149"/>
      <c r="BY25" s="149"/>
      <c r="BZ25" s="149"/>
      <c r="CA25" s="149"/>
      <c r="CB25" s="149"/>
      <c r="CC25" s="149"/>
      <c r="CD25" s="149"/>
      <c r="CE25" s="149"/>
      <c r="CF25" s="149"/>
      <c r="CG25" s="149"/>
      <c r="CH25" s="149"/>
      <c r="CI25" s="149"/>
      <c r="CJ25" s="149"/>
      <c r="CK25" s="149"/>
      <c r="CL25" s="149"/>
      <c r="CM25" s="149"/>
      <c r="CN25" s="149"/>
      <c r="CO25" s="149"/>
      <c r="CP25" s="149" t="s">
        <v>1776</v>
      </c>
      <c r="CQ25" s="149" t="s">
        <v>2000</v>
      </c>
      <c r="CR25" s="149"/>
      <c r="CS25" s="149"/>
      <c r="CT25" s="149">
        <v>0</v>
      </c>
      <c r="CU25" s="149"/>
      <c r="CV25" s="149" t="s">
        <v>424</v>
      </c>
      <c r="CW25" s="149" t="s">
        <v>2050</v>
      </c>
      <c r="CX25" s="149"/>
      <c r="CY25" s="149" t="s">
        <v>2051</v>
      </c>
      <c r="CZ25" s="149"/>
      <c r="DA25" s="149">
        <v>0</v>
      </c>
      <c r="DB25" s="149">
        <v>1</v>
      </c>
      <c r="DC25" s="149">
        <v>2021</v>
      </c>
      <c r="DD25" s="149"/>
      <c r="DE25" s="149"/>
      <c r="DF25" s="149"/>
      <c r="DG25" s="149"/>
      <c r="DH25" s="149"/>
      <c r="DI25" s="149"/>
      <c r="DJ25" s="149"/>
      <c r="DK25" s="149"/>
      <c r="DL25" s="149"/>
      <c r="DM25" s="149"/>
      <c r="DN25" s="149"/>
      <c r="DO25" s="149"/>
      <c r="DP25" s="149"/>
      <c r="DQ25" s="149"/>
      <c r="DR25" s="149"/>
      <c r="DS25" s="149"/>
      <c r="DT25" s="149"/>
      <c r="DU25" s="149"/>
      <c r="DV25" s="149"/>
      <c r="DW25" s="149"/>
      <c r="DX25" s="149"/>
      <c r="DY25" s="149"/>
      <c r="DZ25" s="149"/>
      <c r="EA25" s="149"/>
      <c r="EB25" s="149"/>
      <c r="EC25" s="149"/>
      <c r="ED25" s="149"/>
      <c r="EE25" s="149"/>
      <c r="EF25" s="149"/>
      <c r="EG25" s="149"/>
      <c r="EH25" s="149"/>
      <c r="EI25" s="149"/>
      <c r="EJ25" s="149"/>
      <c r="EK25" s="149"/>
      <c r="EL25" s="149"/>
      <c r="EM25" s="149"/>
      <c r="EN25" s="149"/>
      <c r="EO25" s="149"/>
      <c r="EP25" s="149"/>
      <c r="EQ25" s="149"/>
      <c r="ER25" s="149"/>
      <c r="ES25" s="149"/>
      <c r="ET25" s="149"/>
      <c r="EU25" s="149"/>
      <c r="EV25" s="149"/>
      <c r="EW25" s="149"/>
      <c r="EX25" s="149"/>
      <c r="EY25" s="149"/>
      <c r="EZ25" s="149"/>
      <c r="FA25" s="149"/>
      <c r="FB25" s="149"/>
      <c r="FC25" s="149"/>
      <c r="FD25" s="149"/>
      <c r="FE25" s="149"/>
      <c r="FF25" s="149"/>
      <c r="FG25" s="149"/>
      <c r="FH25" s="149"/>
      <c r="FI25" s="149"/>
      <c r="FJ25" s="149"/>
      <c r="FK25" s="149"/>
      <c r="FL25" s="149"/>
      <c r="FM25" s="149"/>
      <c r="FN25" s="149"/>
      <c r="FO25" s="149"/>
      <c r="FP25" s="149"/>
      <c r="FQ25" s="149"/>
      <c r="FR25" s="149"/>
      <c r="FS25" s="149"/>
      <c r="FT25" s="149"/>
      <c r="FU25" s="149"/>
      <c r="FV25" s="149"/>
      <c r="FW25" s="149"/>
      <c r="FX25" s="149"/>
      <c r="FY25" s="149"/>
      <c r="FZ25" s="149"/>
      <c r="GA25" s="149"/>
      <c r="GB25" s="149" t="s">
        <v>2056</v>
      </c>
      <c r="GC25" s="149"/>
      <c r="GD25" s="149"/>
      <c r="GE25" s="149"/>
    </row>
    <row r="26" spans="1:187">
      <c r="A26" s="149">
        <v>14</v>
      </c>
      <c r="B26" s="149" t="s">
        <v>2023</v>
      </c>
      <c r="C26" s="149" t="str">
        <f t="shared" si="0"/>
        <v>005380</v>
      </c>
      <c r="D26" s="148" t="s">
        <v>2024</v>
      </c>
      <c r="E26" s="149"/>
      <c r="F26" s="149" t="s">
        <v>497</v>
      </c>
      <c r="G26" s="149">
        <v>1</v>
      </c>
      <c r="H26" s="149"/>
      <c r="I26" s="149" t="s">
        <v>2025</v>
      </c>
      <c r="J26" s="149">
        <v>1</v>
      </c>
      <c r="K26" s="149"/>
      <c r="L26" s="149">
        <v>1966</v>
      </c>
      <c r="M26" s="149" t="s">
        <v>491</v>
      </c>
      <c r="N26" s="161" t="s">
        <v>2027</v>
      </c>
      <c r="O26" s="149"/>
      <c r="P26" s="149"/>
      <c r="Q26" s="149"/>
      <c r="R26" s="149"/>
      <c r="S26" s="149" t="s">
        <v>1999</v>
      </c>
      <c r="T26" s="149" t="str">
        <f>VLOOKUP(U26,MaXa_3cap_2cap!$B$2:$C$369,2,0)</f>
        <v>06910</v>
      </c>
      <c r="U26" s="149" t="s">
        <v>1776</v>
      </c>
      <c r="V26" s="149" t="s">
        <v>2000</v>
      </c>
      <c r="W26" s="149"/>
      <c r="X26" s="149"/>
      <c r="Y26" s="150" t="s">
        <v>1777</v>
      </c>
      <c r="Z26" s="157" t="s">
        <v>2028</v>
      </c>
      <c r="AA26" s="149">
        <v>0</v>
      </c>
      <c r="AB26" s="149"/>
      <c r="AC26" s="149">
        <v>1960</v>
      </c>
      <c r="AD26" s="149" t="s">
        <v>490</v>
      </c>
      <c r="AE26" s="160">
        <v>101068774</v>
      </c>
      <c r="AF26" s="149"/>
      <c r="AG26" s="149"/>
      <c r="AH26" s="149"/>
      <c r="AI26" s="149"/>
      <c r="AJ26" s="149" t="s">
        <v>1999</v>
      </c>
      <c r="AK26" s="149" t="str">
        <f>VLOOKUP(AL26,MaXa_3cap_2cap!$B$2:$C$369,2,0)</f>
        <v>06910</v>
      </c>
      <c r="AL26" s="149" t="s">
        <v>1776</v>
      </c>
      <c r="AM26" s="149" t="s">
        <v>2000</v>
      </c>
      <c r="AN26" s="149"/>
      <c r="AO26" s="149"/>
      <c r="AP26" s="149" t="s">
        <v>1777</v>
      </c>
      <c r="AQ26" s="158">
        <v>74</v>
      </c>
      <c r="AR26" s="149">
        <v>52</v>
      </c>
      <c r="AS26" s="149">
        <v>1000</v>
      </c>
      <c r="AT26" s="149"/>
      <c r="AU26" s="149" t="str">
        <f>VLOOKUP(CP26,'TT DO DAC'!$B$2:$G$213,5,0)</f>
        <v>Chi nhánh xí nghiệp tài nguyên và môi trường 7</v>
      </c>
      <c r="AV26" s="149"/>
      <c r="AW26" s="149"/>
      <c r="AX26" s="152">
        <f>VLOOKUP(CP26,'TT DO DAC'!$B$2:$G$213,6,0)</f>
        <v>41274</v>
      </c>
      <c r="AY26" s="149" t="s">
        <v>1852</v>
      </c>
      <c r="AZ26" s="149"/>
      <c r="BA26" s="149"/>
      <c r="BB26" s="149" t="s">
        <v>1029</v>
      </c>
      <c r="BC26" s="153" t="str">
        <f>VLOOKUP(BB26,DM_LoaiDat!$B$2:$C$78,2,0)</f>
        <v xml:space="preserve">LUK </v>
      </c>
      <c r="BD26" s="149" t="str">
        <f t="shared" si="2"/>
        <v xml:space="preserve">LUK </v>
      </c>
      <c r="BE26" s="151">
        <v>112.7</v>
      </c>
      <c r="BF26" s="149">
        <v>0</v>
      </c>
      <c r="BG26" s="149" t="s">
        <v>1779</v>
      </c>
      <c r="BH26" s="149"/>
      <c r="BI26" s="149" t="s">
        <v>204</v>
      </c>
      <c r="BJ26" s="149" t="str">
        <f>VLOOKUP(BI26,DM_NguonGocSuDungDat!$A$2:$B$24,2,0)</f>
        <v>Nhà nước giao đất không thu tiền sử dụng đất</v>
      </c>
      <c r="BK26" s="149"/>
      <c r="BL26" s="149"/>
      <c r="BM26" s="149"/>
      <c r="BN26" s="149"/>
      <c r="BO26" s="149"/>
      <c r="BP26" s="149"/>
      <c r="BQ26" s="149"/>
      <c r="BR26" s="149"/>
      <c r="BS26" s="149"/>
      <c r="BT26" s="149"/>
      <c r="BU26" s="149"/>
      <c r="BV26" s="149"/>
      <c r="BW26" s="149"/>
      <c r="BX26" s="149"/>
      <c r="BY26" s="149"/>
      <c r="BZ26" s="149"/>
      <c r="CA26" s="149"/>
      <c r="CB26" s="149"/>
      <c r="CC26" s="149"/>
      <c r="CD26" s="149"/>
      <c r="CE26" s="149"/>
      <c r="CF26" s="149"/>
      <c r="CG26" s="149"/>
      <c r="CH26" s="149"/>
      <c r="CI26" s="149"/>
      <c r="CJ26" s="149"/>
      <c r="CK26" s="149"/>
      <c r="CL26" s="149"/>
      <c r="CM26" s="149"/>
      <c r="CN26" s="149"/>
      <c r="CO26" s="149"/>
      <c r="CP26" s="149" t="s">
        <v>1776</v>
      </c>
      <c r="CQ26" s="149" t="s">
        <v>2000</v>
      </c>
      <c r="CR26" s="149"/>
      <c r="CS26" s="149"/>
      <c r="CT26" s="149">
        <v>0</v>
      </c>
      <c r="CU26" s="149"/>
      <c r="CV26" s="149" t="s">
        <v>424</v>
      </c>
      <c r="CW26" s="149" t="s">
        <v>2050</v>
      </c>
      <c r="CX26" s="149"/>
      <c r="CY26" s="149" t="s">
        <v>2052</v>
      </c>
      <c r="CZ26" s="149"/>
      <c r="DA26" s="149">
        <v>0</v>
      </c>
      <c r="DB26" s="149">
        <v>1</v>
      </c>
      <c r="DC26" s="149">
        <v>2021</v>
      </c>
      <c r="DD26" s="149"/>
      <c r="DE26" s="149"/>
      <c r="DF26" s="149"/>
      <c r="DG26" s="149"/>
      <c r="DH26" s="149"/>
      <c r="DI26" s="149"/>
      <c r="DJ26" s="149"/>
      <c r="DK26" s="149"/>
      <c r="DL26" s="149"/>
      <c r="DM26" s="149"/>
      <c r="DN26" s="149"/>
      <c r="DO26" s="149"/>
      <c r="DP26" s="149"/>
      <c r="DQ26" s="149"/>
      <c r="DR26" s="149"/>
      <c r="DS26" s="149"/>
      <c r="DT26" s="149"/>
      <c r="DU26" s="149"/>
      <c r="DV26" s="149"/>
      <c r="DW26" s="149"/>
      <c r="DX26" s="149"/>
      <c r="DY26" s="149"/>
      <c r="DZ26" s="149"/>
      <c r="EA26" s="149"/>
      <c r="EB26" s="149"/>
      <c r="EC26" s="149"/>
      <c r="ED26" s="149"/>
      <c r="EE26" s="149"/>
      <c r="EF26" s="149"/>
      <c r="EG26" s="149"/>
      <c r="EH26" s="149"/>
      <c r="EI26" s="149"/>
      <c r="EJ26" s="149"/>
      <c r="EK26" s="149"/>
      <c r="EL26" s="149"/>
      <c r="EM26" s="149"/>
      <c r="EN26" s="149"/>
      <c r="EO26" s="149"/>
      <c r="EP26" s="149"/>
      <c r="EQ26" s="149"/>
      <c r="ER26" s="149"/>
      <c r="ES26" s="149"/>
      <c r="ET26" s="149"/>
      <c r="EU26" s="149"/>
      <c r="EV26" s="149"/>
      <c r="EW26" s="149"/>
      <c r="EX26" s="149"/>
      <c r="EY26" s="149"/>
      <c r="EZ26" s="149"/>
      <c r="FA26" s="149"/>
      <c r="FB26" s="149"/>
      <c r="FC26" s="149"/>
      <c r="FD26" s="149"/>
      <c r="FE26" s="149"/>
      <c r="FF26" s="149"/>
      <c r="FG26" s="149"/>
      <c r="FH26" s="149"/>
      <c r="FI26" s="149"/>
      <c r="FJ26" s="149"/>
      <c r="FK26" s="149"/>
      <c r="FL26" s="149"/>
      <c r="FM26" s="149"/>
      <c r="FN26" s="149"/>
      <c r="FO26" s="149"/>
      <c r="FP26" s="149"/>
      <c r="FQ26" s="149"/>
      <c r="FR26" s="149"/>
      <c r="FS26" s="149"/>
      <c r="FT26" s="149"/>
      <c r="FU26" s="149"/>
      <c r="FV26" s="149"/>
      <c r="FW26" s="149"/>
      <c r="FX26" s="149"/>
      <c r="FY26" s="149"/>
      <c r="FZ26" s="149"/>
      <c r="GA26" s="149"/>
      <c r="GB26" s="149" t="s">
        <v>2056</v>
      </c>
      <c r="GC26" s="149"/>
      <c r="GD26" s="149"/>
      <c r="GE26" s="149"/>
    </row>
    <row r="27" spans="1:187">
      <c r="A27" s="149">
        <v>15</v>
      </c>
      <c r="B27" s="149" t="s">
        <v>2023</v>
      </c>
      <c r="C27" s="149" t="str">
        <f t="shared" si="0"/>
        <v>005380</v>
      </c>
      <c r="D27" s="148" t="s">
        <v>2024</v>
      </c>
      <c r="E27" s="149"/>
      <c r="F27" s="149" t="s">
        <v>497</v>
      </c>
      <c r="G27" s="149">
        <v>1</v>
      </c>
      <c r="H27" s="149"/>
      <c r="I27" s="149" t="s">
        <v>2025</v>
      </c>
      <c r="J27" s="149">
        <v>1</v>
      </c>
      <c r="K27" s="149"/>
      <c r="L27" s="149">
        <v>1966</v>
      </c>
      <c r="M27" s="149" t="s">
        <v>491</v>
      </c>
      <c r="N27" s="161" t="s">
        <v>2027</v>
      </c>
      <c r="O27" s="149"/>
      <c r="P27" s="149"/>
      <c r="Q27" s="149"/>
      <c r="R27" s="149"/>
      <c r="S27" s="149" t="s">
        <v>1999</v>
      </c>
      <c r="T27" s="149" t="str">
        <f>VLOOKUP(U27,MaXa_3cap_2cap!$B$2:$C$369,2,0)</f>
        <v>06910</v>
      </c>
      <c r="U27" s="149" t="s">
        <v>1776</v>
      </c>
      <c r="V27" s="149" t="s">
        <v>2000</v>
      </c>
      <c r="W27" s="149"/>
      <c r="X27" s="149"/>
      <c r="Y27" s="150" t="s">
        <v>1777</v>
      </c>
      <c r="Z27" s="157" t="s">
        <v>2028</v>
      </c>
      <c r="AA27" s="149">
        <v>0</v>
      </c>
      <c r="AB27" s="149"/>
      <c r="AC27" s="149">
        <v>1960</v>
      </c>
      <c r="AD27" s="149" t="s">
        <v>490</v>
      </c>
      <c r="AE27" s="160">
        <v>101068774</v>
      </c>
      <c r="AF27" s="149"/>
      <c r="AG27" s="149"/>
      <c r="AH27" s="149"/>
      <c r="AI27" s="149"/>
      <c r="AJ27" s="149" t="s">
        <v>1999</v>
      </c>
      <c r="AK27" s="149" t="str">
        <f>VLOOKUP(AL27,MaXa_3cap_2cap!$B$2:$C$369,2,0)</f>
        <v>06910</v>
      </c>
      <c r="AL27" s="149" t="s">
        <v>1776</v>
      </c>
      <c r="AM27" s="149" t="s">
        <v>2000</v>
      </c>
      <c r="AN27" s="149"/>
      <c r="AO27" s="149"/>
      <c r="AP27" s="149" t="s">
        <v>1777</v>
      </c>
      <c r="AQ27" s="158">
        <v>73</v>
      </c>
      <c r="AR27" s="149">
        <v>52</v>
      </c>
      <c r="AS27" s="149">
        <v>1000</v>
      </c>
      <c r="AT27" s="149"/>
      <c r="AU27" s="149" t="str">
        <f>VLOOKUP(CP27,'TT DO DAC'!$B$2:$G$213,5,0)</f>
        <v>Chi nhánh xí nghiệp tài nguyên và môi trường 7</v>
      </c>
      <c r="AV27" s="149"/>
      <c r="AW27" s="149"/>
      <c r="AX27" s="152">
        <f>VLOOKUP(CP27,'TT DO DAC'!$B$2:$G$213,6,0)</f>
        <v>41274</v>
      </c>
      <c r="AY27" s="149" t="s">
        <v>1852</v>
      </c>
      <c r="AZ27" s="149"/>
      <c r="BA27" s="149"/>
      <c r="BB27" s="149" t="s">
        <v>1029</v>
      </c>
      <c r="BC27" s="153" t="str">
        <f>VLOOKUP(BB27,DM_LoaiDat!$B$2:$C$78,2,0)</f>
        <v xml:space="preserve">LUK </v>
      </c>
      <c r="BD27" s="149" t="str">
        <f t="shared" si="2"/>
        <v xml:space="preserve">LUK </v>
      </c>
      <c r="BE27" s="151">
        <v>114.3</v>
      </c>
      <c r="BF27" s="149">
        <v>0</v>
      </c>
      <c r="BG27" s="149" t="s">
        <v>1779</v>
      </c>
      <c r="BH27" s="149"/>
      <c r="BI27" s="149" t="s">
        <v>204</v>
      </c>
      <c r="BJ27" s="149" t="str">
        <f>VLOOKUP(BI27,DM_NguonGocSuDungDat!$A$2:$B$24,2,0)</f>
        <v>Nhà nước giao đất không thu tiền sử dụng đất</v>
      </c>
      <c r="BK27" s="149"/>
      <c r="BL27" s="149"/>
      <c r="BM27" s="149"/>
      <c r="BN27" s="149"/>
      <c r="BO27" s="149"/>
      <c r="BP27" s="149"/>
      <c r="BQ27" s="149"/>
      <c r="BR27" s="149"/>
      <c r="BS27" s="149"/>
      <c r="BT27" s="149"/>
      <c r="BU27" s="149"/>
      <c r="BV27" s="149"/>
      <c r="BW27" s="149"/>
      <c r="BX27" s="149"/>
      <c r="BY27" s="149"/>
      <c r="BZ27" s="149"/>
      <c r="CA27" s="149"/>
      <c r="CB27" s="149"/>
      <c r="CC27" s="149"/>
      <c r="CD27" s="149"/>
      <c r="CE27" s="149"/>
      <c r="CF27" s="149"/>
      <c r="CG27" s="149"/>
      <c r="CH27" s="149"/>
      <c r="CI27" s="149"/>
      <c r="CJ27" s="149"/>
      <c r="CK27" s="149"/>
      <c r="CL27" s="149"/>
      <c r="CM27" s="149"/>
      <c r="CN27" s="149"/>
      <c r="CO27" s="149"/>
      <c r="CP27" s="149" t="s">
        <v>1776</v>
      </c>
      <c r="CQ27" s="149" t="s">
        <v>2000</v>
      </c>
      <c r="CR27" s="149"/>
      <c r="CS27" s="149"/>
      <c r="CT27" s="149">
        <v>0</v>
      </c>
      <c r="CU27" s="149"/>
      <c r="CV27" s="149" t="s">
        <v>424</v>
      </c>
      <c r="CW27" s="149" t="s">
        <v>2050</v>
      </c>
      <c r="CX27" s="149"/>
      <c r="CY27" s="149" t="s">
        <v>2053</v>
      </c>
      <c r="CZ27" s="149"/>
      <c r="DA27" s="149">
        <v>0</v>
      </c>
      <c r="DB27" s="149">
        <v>1</v>
      </c>
      <c r="DC27" s="149">
        <v>2021</v>
      </c>
      <c r="DD27" s="149"/>
      <c r="DE27" s="149"/>
      <c r="DF27" s="149"/>
      <c r="DG27" s="149"/>
      <c r="DH27" s="149"/>
      <c r="DI27" s="149"/>
      <c r="DJ27" s="149"/>
      <c r="DK27" s="149"/>
      <c r="DL27" s="149"/>
      <c r="DM27" s="149"/>
      <c r="DN27" s="149"/>
      <c r="DO27" s="149"/>
      <c r="DP27" s="149"/>
      <c r="DQ27" s="149"/>
      <c r="DR27" s="149"/>
      <c r="DS27" s="149"/>
      <c r="DT27" s="149"/>
      <c r="DU27" s="149"/>
      <c r="DV27" s="149"/>
      <c r="DW27" s="149"/>
      <c r="DX27" s="149"/>
      <c r="DY27" s="149"/>
      <c r="DZ27" s="149"/>
      <c r="EA27" s="149"/>
      <c r="EB27" s="149"/>
      <c r="EC27" s="149"/>
      <c r="ED27" s="149"/>
      <c r="EE27" s="149"/>
      <c r="EF27" s="149"/>
      <c r="EG27" s="149"/>
      <c r="EH27" s="149"/>
      <c r="EI27" s="149"/>
      <c r="EJ27" s="149"/>
      <c r="EK27" s="149"/>
      <c r="EL27" s="149"/>
      <c r="EM27" s="149"/>
      <c r="EN27" s="149"/>
      <c r="EO27" s="149"/>
      <c r="EP27" s="149"/>
      <c r="EQ27" s="149"/>
      <c r="ER27" s="149"/>
      <c r="ES27" s="149"/>
      <c r="ET27" s="149"/>
      <c r="EU27" s="149"/>
      <c r="EV27" s="149"/>
      <c r="EW27" s="149"/>
      <c r="EX27" s="149"/>
      <c r="EY27" s="149"/>
      <c r="EZ27" s="149"/>
      <c r="FA27" s="149"/>
      <c r="FB27" s="149"/>
      <c r="FC27" s="149"/>
      <c r="FD27" s="149"/>
      <c r="FE27" s="149"/>
      <c r="FF27" s="149"/>
      <c r="FG27" s="149"/>
      <c r="FH27" s="149"/>
      <c r="FI27" s="149"/>
      <c r="FJ27" s="149"/>
      <c r="FK27" s="149"/>
      <c r="FL27" s="149"/>
      <c r="FM27" s="149"/>
      <c r="FN27" s="149"/>
      <c r="FO27" s="149"/>
      <c r="FP27" s="149"/>
      <c r="FQ27" s="149"/>
      <c r="FR27" s="149"/>
      <c r="FS27" s="149"/>
      <c r="FT27" s="149"/>
      <c r="FU27" s="149"/>
      <c r="FV27" s="149"/>
      <c r="FW27" s="149"/>
      <c r="FX27" s="149"/>
      <c r="FY27" s="149"/>
      <c r="FZ27" s="149"/>
      <c r="GA27" s="149"/>
      <c r="GB27" s="149" t="s">
        <v>2056</v>
      </c>
      <c r="GC27" s="149"/>
      <c r="GD27" s="149"/>
      <c r="GE27" s="149"/>
    </row>
    <row r="28" spans="1:187">
      <c r="A28" s="149">
        <v>16</v>
      </c>
      <c r="B28" s="149" t="s">
        <v>2023</v>
      </c>
      <c r="C28" s="149" t="str">
        <f t="shared" si="0"/>
        <v>005380</v>
      </c>
      <c r="D28" s="148" t="s">
        <v>2024</v>
      </c>
      <c r="E28" s="149"/>
      <c r="F28" s="149" t="s">
        <v>497</v>
      </c>
      <c r="G28" s="149">
        <v>1</v>
      </c>
      <c r="H28" s="149"/>
      <c r="I28" s="149" t="s">
        <v>2025</v>
      </c>
      <c r="J28" s="149">
        <v>1</v>
      </c>
      <c r="K28" s="149"/>
      <c r="L28" s="149">
        <v>1966</v>
      </c>
      <c r="M28" s="149" t="s">
        <v>491</v>
      </c>
      <c r="N28" s="161" t="s">
        <v>2027</v>
      </c>
      <c r="O28" s="149"/>
      <c r="P28" s="149"/>
      <c r="Q28" s="149"/>
      <c r="R28" s="149"/>
      <c r="S28" s="149" t="s">
        <v>1999</v>
      </c>
      <c r="T28" s="149" t="str">
        <f>VLOOKUP(U28,MaXa_3cap_2cap!$B$2:$C$369,2,0)</f>
        <v>06910</v>
      </c>
      <c r="U28" s="149" t="s">
        <v>1776</v>
      </c>
      <c r="V28" s="149" t="s">
        <v>2000</v>
      </c>
      <c r="W28" s="149"/>
      <c r="X28" s="149"/>
      <c r="Y28" s="150" t="s">
        <v>1777</v>
      </c>
      <c r="Z28" s="157" t="s">
        <v>2028</v>
      </c>
      <c r="AA28" s="149">
        <v>0</v>
      </c>
      <c r="AB28" s="149"/>
      <c r="AC28" s="149">
        <v>1960</v>
      </c>
      <c r="AD28" s="149" t="s">
        <v>490</v>
      </c>
      <c r="AE28" s="160">
        <v>101068774</v>
      </c>
      <c r="AF28" s="149"/>
      <c r="AG28" s="149"/>
      <c r="AH28" s="149"/>
      <c r="AI28" s="149"/>
      <c r="AJ28" s="149" t="s">
        <v>1999</v>
      </c>
      <c r="AK28" s="149" t="str">
        <f>VLOOKUP(AL28,MaXa_3cap_2cap!$B$2:$C$369,2,0)</f>
        <v>06910</v>
      </c>
      <c r="AL28" s="149" t="s">
        <v>1776</v>
      </c>
      <c r="AM28" s="149" t="s">
        <v>2000</v>
      </c>
      <c r="AN28" s="149"/>
      <c r="AO28" s="149"/>
      <c r="AP28" s="149" t="s">
        <v>1777</v>
      </c>
      <c r="AQ28" s="158">
        <v>31</v>
      </c>
      <c r="AR28" s="149">
        <v>52</v>
      </c>
      <c r="AS28" s="149">
        <v>1000</v>
      </c>
      <c r="AT28" s="149"/>
      <c r="AU28" s="149" t="str">
        <f>VLOOKUP(CP28,'TT DO DAC'!$B$2:$G$213,5,0)</f>
        <v>Chi nhánh xí nghiệp tài nguyên và môi trường 7</v>
      </c>
      <c r="AV28" s="149"/>
      <c r="AW28" s="149"/>
      <c r="AX28" s="152">
        <f>VLOOKUP(CP28,'TT DO DAC'!$B$2:$G$213,6,0)</f>
        <v>41274</v>
      </c>
      <c r="AY28" s="149" t="s">
        <v>1852</v>
      </c>
      <c r="AZ28" s="149"/>
      <c r="BA28" s="149"/>
      <c r="BB28" s="149" t="s">
        <v>1029</v>
      </c>
      <c r="BC28" s="153" t="str">
        <f>VLOOKUP(BB28,DM_LoaiDat!$B$2:$C$78,2,0)</f>
        <v xml:space="preserve">LUK </v>
      </c>
      <c r="BD28" s="149" t="str">
        <f t="shared" si="2"/>
        <v xml:space="preserve">LUK </v>
      </c>
      <c r="BE28" s="151">
        <v>188.3</v>
      </c>
      <c r="BF28" s="149">
        <v>0</v>
      </c>
      <c r="BG28" s="149" t="s">
        <v>1779</v>
      </c>
      <c r="BH28" s="149"/>
      <c r="BI28" s="149" t="s">
        <v>204</v>
      </c>
      <c r="BJ28" s="149" t="str">
        <f>VLOOKUP(BI28,DM_NguonGocSuDungDat!$A$2:$B$24,2,0)</f>
        <v>Nhà nước giao đất không thu tiền sử dụng đất</v>
      </c>
      <c r="BK28" s="149"/>
      <c r="BL28" s="149"/>
      <c r="BM28" s="149"/>
      <c r="BN28" s="149"/>
      <c r="BO28" s="149"/>
      <c r="BP28" s="149"/>
      <c r="BQ28" s="149"/>
      <c r="BR28" s="149"/>
      <c r="BS28" s="149"/>
      <c r="BT28" s="149"/>
      <c r="BU28" s="149"/>
      <c r="BV28" s="149"/>
      <c r="BW28" s="149"/>
      <c r="BX28" s="149"/>
      <c r="BY28" s="149"/>
      <c r="BZ28" s="149"/>
      <c r="CA28" s="149"/>
      <c r="CB28" s="149"/>
      <c r="CC28" s="149"/>
      <c r="CD28" s="149"/>
      <c r="CE28" s="149"/>
      <c r="CF28" s="149"/>
      <c r="CG28" s="149"/>
      <c r="CH28" s="149"/>
      <c r="CI28" s="149"/>
      <c r="CJ28" s="149"/>
      <c r="CK28" s="149"/>
      <c r="CL28" s="149"/>
      <c r="CM28" s="149"/>
      <c r="CN28" s="149"/>
      <c r="CO28" s="149"/>
      <c r="CP28" s="149" t="s">
        <v>1776</v>
      </c>
      <c r="CQ28" s="149" t="s">
        <v>2000</v>
      </c>
      <c r="CR28" s="149"/>
      <c r="CS28" s="149"/>
      <c r="CT28" s="149">
        <v>0</v>
      </c>
      <c r="CU28" s="149"/>
      <c r="CV28" s="149" t="s">
        <v>424</v>
      </c>
      <c r="CW28" s="149" t="s">
        <v>2050</v>
      </c>
      <c r="CX28" s="149"/>
      <c r="CY28" s="149" t="s">
        <v>2054</v>
      </c>
      <c r="CZ28" s="149"/>
      <c r="DA28" s="149">
        <v>0</v>
      </c>
      <c r="DB28" s="149">
        <v>1</v>
      </c>
      <c r="DC28" s="149">
        <v>2021</v>
      </c>
      <c r="DD28" s="149"/>
      <c r="DE28" s="149"/>
      <c r="DF28" s="149"/>
      <c r="DG28" s="149"/>
      <c r="DH28" s="149"/>
      <c r="DI28" s="149"/>
      <c r="DJ28" s="149"/>
      <c r="DK28" s="149"/>
      <c r="DL28" s="149"/>
      <c r="DM28" s="149"/>
      <c r="DN28" s="149"/>
      <c r="DO28" s="149"/>
      <c r="DP28" s="149"/>
      <c r="DQ28" s="149"/>
      <c r="DR28" s="149"/>
      <c r="DS28" s="149"/>
      <c r="DT28" s="149"/>
      <c r="DU28" s="149"/>
      <c r="DV28" s="149"/>
      <c r="DW28" s="149"/>
      <c r="DX28" s="149"/>
      <c r="DY28" s="149"/>
      <c r="DZ28" s="149"/>
      <c r="EA28" s="149"/>
      <c r="EB28" s="149"/>
      <c r="EC28" s="149"/>
      <c r="ED28" s="149"/>
      <c r="EE28" s="149"/>
      <c r="EF28" s="149"/>
      <c r="EG28" s="149"/>
      <c r="EH28" s="149"/>
      <c r="EI28" s="149"/>
      <c r="EJ28" s="149"/>
      <c r="EK28" s="149"/>
      <c r="EL28" s="149"/>
      <c r="EM28" s="149"/>
      <c r="EN28" s="149"/>
      <c r="EO28" s="149"/>
      <c r="EP28" s="149"/>
      <c r="EQ28" s="149"/>
      <c r="ER28" s="149"/>
      <c r="ES28" s="149"/>
      <c r="ET28" s="149"/>
      <c r="EU28" s="149"/>
      <c r="EV28" s="149"/>
      <c r="EW28" s="149"/>
      <c r="EX28" s="149"/>
      <c r="EY28" s="149"/>
      <c r="EZ28" s="149"/>
      <c r="FA28" s="149"/>
      <c r="FB28" s="149"/>
      <c r="FC28" s="149"/>
      <c r="FD28" s="149"/>
      <c r="FE28" s="149"/>
      <c r="FF28" s="149"/>
      <c r="FG28" s="149"/>
      <c r="FH28" s="149"/>
      <c r="FI28" s="149"/>
      <c r="FJ28" s="149"/>
      <c r="FK28" s="149"/>
      <c r="FL28" s="149"/>
      <c r="FM28" s="149"/>
      <c r="FN28" s="149"/>
      <c r="FO28" s="149"/>
      <c r="FP28" s="149"/>
      <c r="FQ28" s="149"/>
      <c r="FR28" s="149"/>
      <c r="FS28" s="149"/>
      <c r="FT28" s="149"/>
      <c r="FU28" s="149"/>
      <c r="FV28" s="149"/>
      <c r="FW28" s="149"/>
      <c r="FX28" s="149"/>
      <c r="FY28" s="149"/>
      <c r="FZ28" s="149"/>
      <c r="GA28" s="149"/>
      <c r="GB28" s="149" t="s">
        <v>2056</v>
      </c>
      <c r="GC28" s="149"/>
      <c r="GD28" s="149"/>
      <c r="GE28" s="149"/>
    </row>
    <row r="29" spans="1:187">
      <c r="A29" s="149">
        <v>17</v>
      </c>
      <c r="B29" s="149" t="s">
        <v>2026</v>
      </c>
      <c r="C29" s="149" t="str">
        <f t="shared" si="0"/>
        <v>005380</v>
      </c>
      <c r="D29" s="148" t="s">
        <v>2024</v>
      </c>
      <c r="E29" s="149"/>
      <c r="F29" s="149" t="s">
        <v>497</v>
      </c>
      <c r="G29" s="149">
        <v>1</v>
      </c>
      <c r="H29" s="149"/>
      <c r="I29" s="149" t="s">
        <v>2025</v>
      </c>
      <c r="J29" s="149">
        <v>1</v>
      </c>
      <c r="K29" s="149"/>
      <c r="L29" s="149">
        <v>1966</v>
      </c>
      <c r="M29" s="149" t="s">
        <v>491</v>
      </c>
      <c r="N29" s="161" t="s">
        <v>2027</v>
      </c>
      <c r="O29" s="149"/>
      <c r="P29" s="149"/>
      <c r="Q29" s="149"/>
      <c r="R29" s="149"/>
      <c r="S29" s="149" t="s">
        <v>1999</v>
      </c>
      <c r="T29" s="149" t="str">
        <f>VLOOKUP(U29,MaXa_3cap_2cap!$B$2:$C$369,2,0)</f>
        <v>06910</v>
      </c>
      <c r="U29" s="149" t="s">
        <v>1776</v>
      </c>
      <c r="V29" s="149" t="s">
        <v>2000</v>
      </c>
      <c r="W29" s="149"/>
      <c r="X29" s="149"/>
      <c r="Y29" s="150" t="s">
        <v>1777</v>
      </c>
      <c r="Z29" s="157" t="s">
        <v>2028</v>
      </c>
      <c r="AA29" s="149">
        <v>0</v>
      </c>
      <c r="AB29" s="149"/>
      <c r="AC29" s="149">
        <v>1960</v>
      </c>
      <c r="AD29" s="149" t="s">
        <v>490</v>
      </c>
      <c r="AE29" s="160">
        <v>101068774</v>
      </c>
      <c r="AF29" s="149"/>
      <c r="AG29" s="149"/>
      <c r="AH29" s="149"/>
      <c r="AI29" s="149"/>
      <c r="AJ29" s="149" t="s">
        <v>1999</v>
      </c>
      <c r="AK29" s="149" t="str">
        <f>VLOOKUP(AL29,MaXa_3cap_2cap!$B$2:$C$369,2,0)</f>
        <v>06910</v>
      </c>
      <c r="AL29" s="149" t="s">
        <v>1776</v>
      </c>
      <c r="AM29" s="149" t="s">
        <v>2000</v>
      </c>
      <c r="AN29" s="149"/>
      <c r="AO29" s="149"/>
      <c r="AP29" s="149" t="s">
        <v>1777</v>
      </c>
      <c r="AQ29" s="158">
        <v>21</v>
      </c>
      <c r="AR29" s="149">
        <v>52</v>
      </c>
      <c r="AS29" s="149">
        <v>1000</v>
      </c>
      <c r="AT29" s="149"/>
      <c r="AU29" s="149" t="str">
        <f>VLOOKUP(CP29,'TT DO DAC'!$B$2:$G$213,5,0)</f>
        <v>Chi nhánh xí nghiệp tài nguyên và môi trường 7</v>
      </c>
      <c r="AV29" s="149"/>
      <c r="AW29" s="149"/>
      <c r="AX29" s="152">
        <f>VLOOKUP(CP29,'TT DO DAC'!$B$2:$G$213,6,0)</f>
        <v>41274</v>
      </c>
      <c r="AY29" s="149" t="s">
        <v>1852</v>
      </c>
      <c r="AZ29" s="149"/>
      <c r="BA29" s="149"/>
      <c r="BB29" s="149" t="s">
        <v>1029</v>
      </c>
      <c r="BC29" s="153" t="str">
        <f>VLOOKUP(BB29,DM_LoaiDat!$B$2:$C$78,2,0)</f>
        <v xml:space="preserve">LUK </v>
      </c>
      <c r="BD29" s="149" t="str">
        <f t="shared" si="2"/>
        <v xml:space="preserve">LUK </v>
      </c>
      <c r="BE29" s="151">
        <v>109.5</v>
      </c>
      <c r="BF29" s="149">
        <v>0</v>
      </c>
      <c r="BG29" s="149" t="s">
        <v>1779</v>
      </c>
      <c r="BH29" s="149"/>
      <c r="BI29" s="149" t="s">
        <v>204</v>
      </c>
      <c r="BJ29" s="149" t="str">
        <f>VLOOKUP(BI29,DM_NguonGocSuDungDat!$A$2:$B$24,2,0)</f>
        <v>Nhà nước giao đất không thu tiền sử dụng đất</v>
      </c>
      <c r="BK29" s="149"/>
      <c r="BL29" s="149"/>
      <c r="BM29" s="149"/>
      <c r="BN29" s="149"/>
      <c r="BO29" s="149"/>
      <c r="BP29" s="149"/>
      <c r="BQ29" s="149"/>
      <c r="BR29" s="149"/>
      <c r="BS29" s="149"/>
      <c r="BT29" s="149"/>
      <c r="BU29" s="149"/>
      <c r="BV29" s="149"/>
      <c r="BW29" s="149"/>
      <c r="BX29" s="149"/>
      <c r="BY29" s="149"/>
      <c r="BZ29" s="149"/>
      <c r="CA29" s="149"/>
      <c r="CB29" s="149"/>
      <c r="CC29" s="149"/>
      <c r="CD29" s="149"/>
      <c r="CE29" s="149"/>
      <c r="CF29" s="149"/>
      <c r="CG29" s="149"/>
      <c r="CH29" s="149"/>
      <c r="CI29" s="149"/>
      <c r="CJ29" s="149"/>
      <c r="CK29" s="149"/>
      <c r="CL29" s="149"/>
      <c r="CM29" s="149"/>
      <c r="CN29" s="149"/>
      <c r="CO29" s="149"/>
      <c r="CP29" s="149" t="s">
        <v>1776</v>
      </c>
      <c r="CQ29" s="149" t="s">
        <v>2000</v>
      </c>
      <c r="CR29" s="149"/>
      <c r="CS29" s="149"/>
      <c r="CT29" s="149">
        <v>0</v>
      </c>
      <c r="CU29" s="149"/>
      <c r="CV29" s="149" t="s">
        <v>424</v>
      </c>
      <c r="CW29" s="149" t="s">
        <v>2050</v>
      </c>
      <c r="CX29" s="149"/>
      <c r="CY29" s="149" t="s">
        <v>2055</v>
      </c>
      <c r="CZ29" s="149"/>
      <c r="DA29" s="149">
        <v>0</v>
      </c>
      <c r="DB29" s="149">
        <v>1</v>
      </c>
      <c r="DC29" s="149">
        <v>2021</v>
      </c>
      <c r="DD29" s="149"/>
      <c r="DE29" s="149"/>
      <c r="DF29" s="149"/>
      <c r="DG29" s="149"/>
      <c r="DH29" s="149"/>
      <c r="DI29" s="149"/>
      <c r="DJ29" s="149"/>
      <c r="DK29" s="149"/>
      <c r="DL29" s="149"/>
      <c r="DM29" s="149"/>
      <c r="DN29" s="149"/>
      <c r="DO29" s="149"/>
      <c r="DP29" s="149"/>
      <c r="DQ29" s="149"/>
      <c r="DR29" s="149"/>
      <c r="DS29" s="149"/>
      <c r="DT29" s="149"/>
      <c r="DU29" s="149"/>
      <c r="DV29" s="149"/>
      <c r="DW29" s="149"/>
      <c r="DX29" s="149"/>
      <c r="DY29" s="149"/>
      <c r="DZ29" s="149"/>
      <c r="EA29" s="149"/>
      <c r="EB29" s="149"/>
      <c r="EC29" s="149"/>
      <c r="ED29" s="149"/>
      <c r="EE29" s="149"/>
      <c r="EF29" s="149"/>
      <c r="EG29" s="149"/>
      <c r="EH29" s="149"/>
      <c r="EI29" s="149"/>
      <c r="EJ29" s="149"/>
      <c r="EK29" s="149"/>
      <c r="EL29" s="149"/>
      <c r="EM29" s="149"/>
      <c r="EN29" s="149"/>
      <c r="EO29" s="149"/>
      <c r="EP29" s="149"/>
      <c r="EQ29" s="149"/>
      <c r="ER29" s="149"/>
      <c r="ES29" s="149"/>
      <c r="ET29" s="149"/>
      <c r="EU29" s="149"/>
      <c r="EV29" s="149"/>
      <c r="EW29" s="149"/>
      <c r="EX29" s="149"/>
      <c r="EY29" s="149"/>
      <c r="EZ29" s="149"/>
      <c r="FA29" s="149"/>
      <c r="FB29" s="149"/>
      <c r="FC29" s="149"/>
      <c r="FD29" s="149"/>
      <c r="FE29" s="149"/>
      <c r="FF29" s="149"/>
      <c r="FG29" s="149"/>
      <c r="FH29" s="149"/>
      <c r="FI29" s="149"/>
      <c r="FJ29" s="149"/>
      <c r="FK29" s="149"/>
      <c r="FL29" s="149"/>
      <c r="FM29" s="149"/>
      <c r="FN29" s="149"/>
      <c r="FO29" s="149"/>
      <c r="FP29" s="149"/>
      <c r="FQ29" s="149"/>
      <c r="FR29" s="149"/>
      <c r="FS29" s="149"/>
      <c r="FT29" s="149"/>
      <c r="FU29" s="149"/>
      <c r="FV29" s="149"/>
      <c r="FW29" s="149"/>
      <c r="FX29" s="149"/>
      <c r="FY29" s="149"/>
      <c r="FZ29" s="149"/>
      <c r="GA29" s="149"/>
      <c r="GB29" s="149" t="s">
        <v>2056</v>
      </c>
      <c r="GC29" s="149"/>
      <c r="GD29" s="149"/>
      <c r="GE29" s="149"/>
    </row>
    <row r="30" spans="1:187">
      <c r="A30" s="159">
        <v>0.66319444444444442</v>
      </c>
      <c r="B30" s="149"/>
      <c r="C30" s="149" t="str">
        <f t="shared" si="0"/>
        <v/>
      </c>
      <c r="D30" s="148"/>
      <c r="E30" s="149"/>
      <c r="F30" s="149"/>
      <c r="G30" s="149"/>
      <c r="H30" s="149"/>
      <c r="I30" s="149"/>
      <c r="J30" s="149"/>
      <c r="K30" s="149"/>
      <c r="L30" s="149"/>
      <c r="M30" s="149"/>
      <c r="N30" s="151"/>
      <c r="O30" s="149"/>
      <c r="P30" s="149"/>
      <c r="Q30" s="149"/>
      <c r="R30" s="149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49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49"/>
      <c r="AQ30" s="149"/>
      <c r="AR30" s="149"/>
      <c r="AS30" s="149"/>
      <c r="AT30" s="149"/>
      <c r="AU30" s="149"/>
      <c r="AV30" s="149"/>
      <c r="AW30" s="149"/>
      <c r="AX30" s="152"/>
      <c r="AY30" s="149"/>
      <c r="AZ30" s="149"/>
      <c r="BA30" s="149"/>
      <c r="BB30" s="149"/>
      <c r="BC30" s="153"/>
      <c r="BD30" s="149"/>
      <c r="BE30" s="151"/>
      <c r="BF30" s="149"/>
      <c r="BG30" s="149"/>
      <c r="BH30" s="149"/>
      <c r="BI30" s="149"/>
      <c r="BJ30" s="149"/>
      <c r="BK30" s="149"/>
      <c r="BL30" s="149"/>
      <c r="BM30" s="149"/>
      <c r="BN30" s="149"/>
      <c r="BO30" s="149"/>
      <c r="BP30" s="149"/>
      <c r="BQ30" s="149"/>
      <c r="BR30" s="149"/>
      <c r="BS30" s="149"/>
      <c r="BT30" s="149"/>
      <c r="BU30" s="149"/>
      <c r="BV30" s="149"/>
      <c r="BW30" s="149"/>
      <c r="BX30" s="149"/>
      <c r="BY30" s="149"/>
      <c r="BZ30" s="149"/>
      <c r="CA30" s="149"/>
      <c r="CB30" s="149"/>
      <c r="CC30" s="149"/>
      <c r="CD30" s="149"/>
      <c r="CE30" s="149"/>
      <c r="CF30" s="149"/>
      <c r="CG30" s="149"/>
      <c r="CH30" s="149"/>
      <c r="CI30" s="149"/>
      <c r="CJ30" s="149"/>
      <c r="CK30" s="149"/>
      <c r="CL30" s="149"/>
      <c r="CM30" s="149"/>
      <c r="CN30" s="149"/>
      <c r="CO30" s="149"/>
      <c r="CP30" s="149"/>
      <c r="CQ30" s="149"/>
      <c r="CR30" s="149"/>
      <c r="CS30" s="149"/>
      <c r="CT30" s="149"/>
      <c r="CU30" s="149"/>
      <c r="CV30" s="149"/>
      <c r="CW30" s="149"/>
      <c r="CX30" s="149"/>
      <c r="CY30" s="149"/>
      <c r="CZ30" s="149"/>
      <c r="DA30" s="149"/>
      <c r="DB30" s="149"/>
      <c r="DC30" s="149"/>
      <c r="DD30" s="149"/>
      <c r="DE30" s="149"/>
      <c r="DF30" s="149"/>
      <c r="DG30" s="149"/>
      <c r="DH30" s="149"/>
      <c r="DI30" s="149"/>
      <c r="DJ30" s="149"/>
      <c r="DK30" s="149"/>
      <c r="DL30" s="149"/>
      <c r="DM30" s="149"/>
      <c r="DN30" s="149"/>
      <c r="DO30" s="149"/>
      <c r="DP30" s="149"/>
      <c r="DQ30" s="149"/>
      <c r="DR30" s="149"/>
      <c r="DS30" s="149"/>
      <c r="DT30" s="149"/>
      <c r="DU30" s="149"/>
      <c r="DV30" s="149"/>
      <c r="DW30" s="149"/>
      <c r="DX30" s="149"/>
      <c r="DY30" s="149"/>
      <c r="DZ30" s="149"/>
      <c r="EA30" s="149"/>
      <c r="EB30" s="149"/>
      <c r="EC30" s="149"/>
      <c r="ED30" s="149"/>
      <c r="EE30" s="149"/>
      <c r="EF30" s="149"/>
      <c r="EG30" s="149"/>
      <c r="EH30" s="149"/>
      <c r="EI30" s="149"/>
      <c r="EJ30" s="149"/>
      <c r="EK30" s="149"/>
      <c r="EL30" s="149"/>
      <c r="EM30" s="149"/>
      <c r="EN30" s="149"/>
      <c r="EO30" s="149"/>
      <c r="EP30" s="149"/>
      <c r="EQ30" s="149"/>
      <c r="ER30" s="149"/>
      <c r="ES30" s="149"/>
      <c r="ET30" s="149"/>
      <c r="EU30" s="149"/>
      <c r="EV30" s="149"/>
      <c r="EW30" s="149"/>
      <c r="EX30" s="149"/>
      <c r="EY30" s="149"/>
      <c r="EZ30" s="149"/>
      <c r="FA30" s="149"/>
      <c r="FB30" s="149"/>
      <c r="FC30" s="149"/>
      <c r="FD30" s="149"/>
      <c r="FE30" s="149"/>
      <c r="FF30" s="149"/>
      <c r="FG30" s="149"/>
      <c r="FH30" s="149"/>
      <c r="FI30" s="149"/>
      <c r="FJ30" s="149"/>
      <c r="FK30" s="149"/>
      <c r="FL30" s="149"/>
      <c r="FM30" s="149"/>
      <c r="FN30" s="149"/>
      <c r="FO30" s="149"/>
      <c r="FP30" s="149"/>
      <c r="FQ30" s="149"/>
      <c r="FR30" s="149"/>
      <c r="FS30" s="149"/>
      <c r="FT30" s="149"/>
      <c r="FU30" s="149"/>
      <c r="FV30" s="149"/>
      <c r="FW30" s="149"/>
      <c r="FX30" s="149"/>
      <c r="FY30" s="149"/>
      <c r="FZ30" s="149"/>
      <c r="GA30" s="149"/>
      <c r="GB30" s="149"/>
      <c r="GC30" s="149"/>
      <c r="GD30" s="149"/>
      <c r="GE30" s="149"/>
    </row>
    <row r="31" spans="1:187">
      <c r="A31" s="149">
        <v>18</v>
      </c>
      <c r="B31" s="149" t="s">
        <v>2057</v>
      </c>
      <c r="C31" s="149" t="str">
        <f t="shared" si="0"/>
        <v>005392</v>
      </c>
      <c r="D31" s="148" t="s">
        <v>2058</v>
      </c>
      <c r="E31" s="149"/>
      <c r="F31" s="149" t="s">
        <v>497</v>
      </c>
      <c r="G31" s="149">
        <v>1</v>
      </c>
      <c r="H31" s="149"/>
      <c r="I31" s="160" t="s">
        <v>2059</v>
      </c>
      <c r="J31" s="149">
        <v>1</v>
      </c>
      <c r="K31" s="149"/>
      <c r="L31" s="149">
        <v>1971</v>
      </c>
      <c r="M31" s="149" t="s">
        <v>490</v>
      </c>
      <c r="N31" s="162">
        <v>100881850</v>
      </c>
      <c r="O31" s="149"/>
      <c r="P31" s="149"/>
      <c r="Q31" s="149"/>
      <c r="R31" s="149"/>
      <c r="S31" s="149" t="s">
        <v>1999</v>
      </c>
      <c r="T31" s="149" t="str">
        <f>VLOOKUP(U31,MaXa_3cap_2cap!$B$2:$C$369,2,0)</f>
        <v>06910</v>
      </c>
      <c r="U31" s="149" t="s">
        <v>1776</v>
      </c>
      <c r="V31" s="149" t="s">
        <v>2000</v>
      </c>
      <c r="W31" s="149"/>
      <c r="X31" s="149"/>
      <c r="Y31" s="149" t="s">
        <v>1777</v>
      </c>
      <c r="Z31" s="160" t="s">
        <v>2060</v>
      </c>
      <c r="AA31" s="149">
        <v>0</v>
      </c>
      <c r="AB31" s="149"/>
      <c r="AC31" s="149">
        <v>1974</v>
      </c>
      <c r="AD31" s="149" t="s">
        <v>490</v>
      </c>
      <c r="AE31" s="160">
        <v>100597556</v>
      </c>
      <c r="AF31" s="149"/>
      <c r="AG31" s="149"/>
      <c r="AH31" s="149"/>
      <c r="AI31" s="149"/>
      <c r="AJ31" s="149" t="s">
        <v>1999</v>
      </c>
      <c r="AK31" s="149" t="str">
        <f>VLOOKUP(AL31,MaXa_3cap_2cap!$B$2:$C$369,2,0)</f>
        <v>06910</v>
      </c>
      <c r="AL31" s="149" t="s">
        <v>1776</v>
      </c>
      <c r="AM31" s="149" t="s">
        <v>2000</v>
      </c>
      <c r="AN31" s="149"/>
      <c r="AO31" s="149"/>
      <c r="AP31" s="149" t="s">
        <v>1777</v>
      </c>
      <c r="AQ31" s="149">
        <v>264</v>
      </c>
      <c r="AR31" s="163">
        <v>43</v>
      </c>
      <c r="AS31" s="149">
        <v>1000</v>
      </c>
      <c r="AT31" s="149"/>
      <c r="AU31" s="149" t="str">
        <f>VLOOKUP(CP31,'TT DO DAC'!$B$2:$G$213,5,0)</f>
        <v>Chi nhánh xí nghiệp tài nguyên và môi trường 7</v>
      </c>
      <c r="AV31" s="149"/>
      <c r="AW31" s="149"/>
      <c r="AX31" s="152">
        <f>VLOOKUP(CP31,'TT DO DAC'!$B$2:$G$213,6,0)</f>
        <v>41274</v>
      </c>
      <c r="AY31" s="149" t="s">
        <v>1852</v>
      </c>
      <c r="AZ31" s="149"/>
      <c r="BA31" s="149"/>
      <c r="BB31" s="149" t="s">
        <v>1028</v>
      </c>
      <c r="BC31" s="153" t="str">
        <f>VLOOKUP(BB31,DM_LoaiDat!$B$2:$C$78,2,0)</f>
        <v xml:space="preserve">LUC </v>
      </c>
      <c r="BD31" s="149" t="str">
        <f t="shared" si="2"/>
        <v xml:space="preserve">LUC </v>
      </c>
      <c r="BE31" s="151">
        <v>700.8</v>
      </c>
      <c r="BF31" s="149">
        <v>0</v>
      </c>
      <c r="BG31" s="149" t="s">
        <v>1779</v>
      </c>
      <c r="BH31" s="149"/>
      <c r="BI31" s="149" t="s">
        <v>204</v>
      </c>
      <c r="BJ31" s="149" t="str">
        <f>VLOOKUP(BI31,DM_NguonGocSuDungDat!$A$2:$B$24,2,0)</f>
        <v>Nhà nước giao đất không thu tiền sử dụng đất</v>
      </c>
      <c r="BK31" s="149"/>
      <c r="BL31" s="149"/>
      <c r="BM31" s="149"/>
      <c r="BN31" s="149"/>
      <c r="BO31" s="149"/>
      <c r="BP31" s="149"/>
      <c r="BQ31" s="149"/>
      <c r="BR31" s="149"/>
      <c r="BS31" s="149"/>
      <c r="BT31" s="149"/>
      <c r="BU31" s="149"/>
      <c r="BV31" s="149"/>
      <c r="BW31" s="149"/>
      <c r="BX31" s="149"/>
      <c r="BY31" s="149"/>
      <c r="BZ31" s="149"/>
      <c r="CA31" s="149"/>
      <c r="CB31" s="149"/>
      <c r="CC31" s="149"/>
      <c r="CD31" s="149"/>
      <c r="CE31" s="149"/>
      <c r="CF31" s="149"/>
      <c r="CG31" s="149"/>
      <c r="CH31" s="149"/>
      <c r="CI31" s="149"/>
      <c r="CJ31" s="149"/>
      <c r="CK31" s="149"/>
      <c r="CL31" s="149"/>
      <c r="CM31" s="149"/>
      <c r="CN31" s="149"/>
      <c r="CO31" s="149"/>
      <c r="CP31" s="149" t="s">
        <v>1776</v>
      </c>
      <c r="CQ31" s="149" t="s">
        <v>2000</v>
      </c>
      <c r="CR31" s="149"/>
      <c r="CS31" s="149"/>
      <c r="CT31" s="149">
        <v>0</v>
      </c>
      <c r="CU31" s="149"/>
      <c r="CV31" s="149" t="s">
        <v>424</v>
      </c>
      <c r="CW31" s="149" t="s">
        <v>2074</v>
      </c>
      <c r="CX31" s="149"/>
      <c r="CY31" s="152">
        <v>44084</v>
      </c>
      <c r="CZ31" s="149" t="s">
        <v>1780</v>
      </c>
      <c r="DA31" s="149">
        <v>0</v>
      </c>
      <c r="DB31" s="149">
        <v>1</v>
      </c>
      <c r="DC31" s="149">
        <v>2020</v>
      </c>
      <c r="DD31" s="149"/>
      <c r="DE31" s="149"/>
      <c r="DF31" s="149"/>
      <c r="DG31" s="149"/>
      <c r="DH31" s="149"/>
      <c r="DI31" s="149"/>
      <c r="DJ31" s="149"/>
      <c r="DK31" s="149"/>
      <c r="DL31" s="149"/>
      <c r="DM31" s="149"/>
      <c r="DN31" s="149"/>
      <c r="DO31" s="149"/>
      <c r="DP31" s="149"/>
      <c r="DQ31" s="149"/>
      <c r="DR31" s="149"/>
      <c r="DS31" s="149"/>
      <c r="DT31" s="149"/>
      <c r="DU31" s="149"/>
      <c r="DV31" s="149"/>
      <c r="DW31" s="149"/>
      <c r="DX31" s="149"/>
      <c r="DY31" s="149"/>
      <c r="DZ31" s="149"/>
      <c r="EA31" s="149"/>
      <c r="EB31" s="149"/>
      <c r="EC31" s="149"/>
      <c r="ED31" s="149"/>
      <c r="EE31" s="149"/>
      <c r="EF31" s="149"/>
      <c r="EG31" s="149"/>
      <c r="EH31" s="149"/>
      <c r="EI31" s="149"/>
      <c r="EJ31" s="149"/>
      <c r="EK31" s="149"/>
      <c r="EL31" s="149"/>
      <c r="EM31" s="149"/>
      <c r="EN31" s="149"/>
      <c r="EO31" s="149"/>
      <c r="EP31" s="149"/>
      <c r="EQ31" s="149"/>
      <c r="ER31" s="149"/>
      <c r="ES31" s="149"/>
      <c r="ET31" s="149"/>
      <c r="EU31" s="149"/>
      <c r="EV31" s="149"/>
      <c r="EW31" s="149"/>
      <c r="EX31" s="149"/>
      <c r="EY31" s="149"/>
      <c r="EZ31" s="149"/>
      <c r="FA31" s="149"/>
      <c r="FB31" s="149"/>
      <c r="FC31" s="149"/>
      <c r="FD31" s="149"/>
      <c r="FE31" s="149"/>
      <c r="FF31" s="149"/>
      <c r="FG31" s="149"/>
      <c r="FH31" s="149"/>
      <c r="FI31" s="149"/>
      <c r="FJ31" s="149"/>
      <c r="FK31" s="149"/>
      <c r="FL31" s="149"/>
      <c r="FM31" s="149"/>
      <c r="FN31" s="149"/>
      <c r="FO31" s="149"/>
      <c r="FP31" s="149"/>
      <c r="FQ31" s="149"/>
      <c r="FR31" s="149"/>
      <c r="FS31" s="149"/>
      <c r="FT31" s="149"/>
      <c r="FU31" s="149"/>
      <c r="FV31" s="149"/>
      <c r="FW31" s="149"/>
      <c r="FX31" s="149"/>
      <c r="FY31" s="149"/>
      <c r="FZ31" s="149"/>
      <c r="GA31" s="149"/>
      <c r="GB31" s="149" t="s">
        <v>2075</v>
      </c>
      <c r="GC31" s="149"/>
      <c r="GD31" s="149"/>
      <c r="GE31" s="149"/>
    </row>
    <row r="32" spans="1:187">
      <c r="A32" s="149">
        <v>19</v>
      </c>
      <c r="B32" s="149" t="s">
        <v>2057</v>
      </c>
      <c r="C32" s="149" t="str">
        <f t="shared" si="0"/>
        <v>005392</v>
      </c>
      <c r="D32" s="148" t="s">
        <v>2058</v>
      </c>
      <c r="E32" s="149"/>
      <c r="F32" s="149" t="s">
        <v>497</v>
      </c>
      <c r="G32" s="149">
        <v>1</v>
      </c>
      <c r="H32" s="149"/>
      <c r="I32" s="160" t="s">
        <v>2059</v>
      </c>
      <c r="J32" s="149">
        <v>1</v>
      </c>
      <c r="K32" s="149"/>
      <c r="L32" s="149">
        <v>1971</v>
      </c>
      <c r="M32" s="149" t="s">
        <v>490</v>
      </c>
      <c r="N32" s="162">
        <v>100881850</v>
      </c>
      <c r="O32" s="149"/>
      <c r="P32" s="149"/>
      <c r="Q32" s="149"/>
      <c r="R32" s="149"/>
      <c r="S32" s="149" t="s">
        <v>1999</v>
      </c>
      <c r="T32" s="149" t="str">
        <f>VLOOKUP(U32,MaXa_3cap_2cap!$B$2:$C$369,2,0)</f>
        <v>06910</v>
      </c>
      <c r="U32" s="149" t="s">
        <v>1776</v>
      </c>
      <c r="V32" s="149" t="s">
        <v>2000</v>
      </c>
      <c r="W32" s="149"/>
      <c r="X32" s="149"/>
      <c r="Y32" s="149" t="s">
        <v>1777</v>
      </c>
      <c r="Z32" s="160" t="s">
        <v>2060</v>
      </c>
      <c r="AA32" s="149">
        <v>0</v>
      </c>
      <c r="AB32" s="149"/>
      <c r="AC32" s="149">
        <v>1974</v>
      </c>
      <c r="AD32" s="149" t="s">
        <v>490</v>
      </c>
      <c r="AE32" s="160">
        <v>100597556</v>
      </c>
      <c r="AF32" s="149"/>
      <c r="AG32" s="149"/>
      <c r="AH32" s="149"/>
      <c r="AI32" s="149"/>
      <c r="AJ32" s="149" t="s">
        <v>1999</v>
      </c>
      <c r="AK32" s="149" t="str">
        <f>VLOOKUP(AL32,MaXa_3cap_2cap!$B$2:$C$369,2,0)</f>
        <v>06910</v>
      </c>
      <c r="AL32" s="149" t="s">
        <v>1776</v>
      </c>
      <c r="AM32" s="149" t="s">
        <v>2000</v>
      </c>
      <c r="AN32" s="149"/>
      <c r="AO32" s="149"/>
      <c r="AP32" s="149" t="s">
        <v>1777</v>
      </c>
      <c r="AQ32" s="149">
        <v>217</v>
      </c>
      <c r="AR32" s="163">
        <v>43</v>
      </c>
      <c r="AS32" s="149">
        <v>1000</v>
      </c>
      <c r="AT32" s="149"/>
      <c r="AU32" s="149" t="str">
        <f>VLOOKUP(CP32,'TT DO DAC'!$B$2:$G$213,5,0)</f>
        <v>Chi nhánh xí nghiệp tài nguyên và môi trường 7</v>
      </c>
      <c r="AV32" s="149"/>
      <c r="AW32" s="149"/>
      <c r="AX32" s="152">
        <f>VLOOKUP(CP32,'TT DO DAC'!$B$2:$G$213,6,0)</f>
        <v>41274</v>
      </c>
      <c r="AY32" s="149" t="s">
        <v>1852</v>
      </c>
      <c r="AZ32" s="149"/>
      <c r="BA32" s="149"/>
      <c r="BB32" s="149" t="s">
        <v>1028</v>
      </c>
      <c r="BC32" s="153" t="str">
        <f>VLOOKUP(BB32,DM_LoaiDat!$B$2:$C$78,2,0)</f>
        <v xml:space="preserve">LUC </v>
      </c>
      <c r="BD32" s="149" t="str">
        <f t="shared" si="2"/>
        <v xml:space="preserve">LUC </v>
      </c>
      <c r="BE32" s="151">
        <v>700.3</v>
      </c>
      <c r="BF32" s="149">
        <v>0</v>
      </c>
      <c r="BG32" s="149" t="s">
        <v>1779</v>
      </c>
      <c r="BH32" s="149"/>
      <c r="BI32" s="149" t="s">
        <v>204</v>
      </c>
      <c r="BJ32" s="149" t="str">
        <f>VLOOKUP(BI32,DM_NguonGocSuDungDat!$A$2:$B$24,2,0)</f>
        <v>Nhà nước giao đất không thu tiền sử dụng đất</v>
      </c>
      <c r="BK32" s="149"/>
      <c r="BL32" s="149"/>
      <c r="BM32" s="149"/>
      <c r="BN32" s="149"/>
      <c r="BO32" s="149"/>
      <c r="BP32" s="149"/>
      <c r="BQ32" s="149"/>
      <c r="BR32" s="149"/>
      <c r="BS32" s="149"/>
      <c r="BT32" s="149"/>
      <c r="BU32" s="149"/>
      <c r="BV32" s="149"/>
      <c r="BW32" s="149"/>
      <c r="BX32" s="149"/>
      <c r="BY32" s="149"/>
      <c r="BZ32" s="149"/>
      <c r="CA32" s="149"/>
      <c r="CB32" s="149"/>
      <c r="CC32" s="149"/>
      <c r="CD32" s="149"/>
      <c r="CE32" s="149"/>
      <c r="CF32" s="149"/>
      <c r="CG32" s="149"/>
      <c r="CH32" s="149"/>
      <c r="CI32" s="149"/>
      <c r="CJ32" s="149"/>
      <c r="CK32" s="149"/>
      <c r="CL32" s="149"/>
      <c r="CM32" s="149"/>
      <c r="CN32" s="149"/>
      <c r="CO32" s="149"/>
      <c r="CP32" s="149" t="s">
        <v>1776</v>
      </c>
      <c r="CQ32" s="149" t="s">
        <v>2000</v>
      </c>
      <c r="CR32" s="149"/>
      <c r="CS32" s="149"/>
      <c r="CT32" s="149">
        <v>0</v>
      </c>
      <c r="CU32" s="149"/>
      <c r="CV32" s="149" t="s">
        <v>424</v>
      </c>
      <c r="CW32" s="149" t="s">
        <v>2074</v>
      </c>
      <c r="CX32" s="149"/>
      <c r="CY32" s="152">
        <v>44084</v>
      </c>
      <c r="CZ32" s="149" t="s">
        <v>1780</v>
      </c>
      <c r="DA32" s="149">
        <v>0</v>
      </c>
      <c r="DB32" s="149">
        <v>1</v>
      </c>
      <c r="DC32" s="149">
        <v>2020</v>
      </c>
      <c r="DD32" s="149"/>
      <c r="DE32" s="149"/>
      <c r="DF32" s="149"/>
      <c r="DG32" s="149"/>
      <c r="DH32" s="149"/>
      <c r="DI32" s="149"/>
      <c r="DJ32" s="149"/>
      <c r="DK32" s="149"/>
      <c r="DL32" s="149"/>
      <c r="DM32" s="149"/>
      <c r="DN32" s="149"/>
      <c r="DO32" s="149"/>
      <c r="DP32" s="149"/>
      <c r="DQ32" s="149"/>
      <c r="DR32" s="149"/>
      <c r="DS32" s="149"/>
      <c r="DT32" s="149"/>
      <c r="DU32" s="149"/>
      <c r="DV32" s="149"/>
      <c r="DW32" s="149"/>
      <c r="DX32" s="149"/>
      <c r="DY32" s="149"/>
      <c r="DZ32" s="149"/>
      <c r="EA32" s="149"/>
      <c r="EB32" s="149"/>
      <c r="EC32" s="149"/>
      <c r="ED32" s="149"/>
      <c r="EE32" s="149"/>
      <c r="EF32" s="149"/>
      <c r="EG32" s="149"/>
      <c r="EH32" s="149"/>
      <c r="EI32" s="149"/>
      <c r="EJ32" s="149"/>
      <c r="EK32" s="149"/>
      <c r="EL32" s="149"/>
      <c r="EM32" s="149"/>
      <c r="EN32" s="149"/>
      <c r="EO32" s="149"/>
      <c r="EP32" s="149"/>
      <c r="EQ32" s="149"/>
      <c r="ER32" s="149"/>
      <c r="ES32" s="149"/>
      <c r="ET32" s="149"/>
      <c r="EU32" s="149"/>
      <c r="EV32" s="149"/>
      <c r="EW32" s="149"/>
      <c r="EX32" s="149"/>
      <c r="EY32" s="149"/>
      <c r="EZ32" s="149"/>
      <c r="FA32" s="149"/>
      <c r="FB32" s="149"/>
      <c r="FC32" s="149"/>
      <c r="FD32" s="149"/>
      <c r="FE32" s="149"/>
      <c r="FF32" s="149"/>
      <c r="FG32" s="149"/>
      <c r="FH32" s="149"/>
      <c r="FI32" s="149"/>
      <c r="FJ32" s="149"/>
      <c r="FK32" s="149"/>
      <c r="FL32" s="149"/>
      <c r="FM32" s="149"/>
      <c r="FN32" s="149"/>
      <c r="FO32" s="149"/>
      <c r="FP32" s="149"/>
      <c r="FQ32" s="149"/>
      <c r="FR32" s="149"/>
      <c r="FS32" s="149"/>
      <c r="FT32" s="149"/>
      <c r="FU32" s="149"/>
      <c r="FV32" s="149"/>
      <c r="FW32" s="149"/>
      <c r="FX32" s="149"/>
      <c r="FY32" s="149"/>
      <c r="FZ32" s="149"/>
      <c r="GA32" s="149"/>
      <c r="GB32" s="149" t="s">
        <v>2075</v>
      </c>
      <c r="GC32" s="149"/>
      <c r="GD32" s="149"/>
      <c r="GE32" s="149"/>
    </row>
    <row r="33" spans="1:187">
      <c r="A33" s="149">
        <v>20</v>
      </c>
      <c r="B33" s="149" t="s">
        <v>2057</v>
      </c>
      <c r="C33" s="149" t="str">
        <f t="shared" si="0"/>
        <v>005392</v>
      </c>
      <c r="D33" s="148" t="s">
        <v>2058</v>
      </c>
      <c r="E33" s="149"/>
      <c r="F33" s="149" t="s">
        <v>497</v>
      </c>
      <c r="G33" s="149">
        <v>1</v>
      </c>
      <c r="H33" s="149"/>
      <c r="I33" s="160" t="s">
        <v>2059</v>
      </c>
      <c r="J33" s="149">
        <v>1</v>
      </c>
      <c r="K33" s="149"/>
      <c r="L33" s="149">
        <v>1971</v>
      </c>
      <c r="M33" s="149" t="s">
        <v>490</v>
      </c>
      <c r="N33" s="162">
        <v>100881850</v>
      </c>
      <c r="O33" s="149"/>
      <c r="P33" s="149"/>
      <c r="Q33" s="149"/>
      <c r="R33" s="149"/>
      <c r="S33" s="149" t="s">
        <v>1999</v>
      </c>
      <c r="T33" s="149" t="str">
        <f>VLOOKUP(U33,MaXa_3cap_2cap!$B$2:$C$369,2,0)</f>
        <v>06910</v>
      </c>
      <c r="U33" s="149" t="s">
        <v>1776</v>
      </c>
      <c r="V33" s="149" t="s">
        <v>2000</v>
      </c>
      <c r="W33" s="149"/>
      <c r="X33" s="149"/>
      <c r="Y33" s="149" t="s">
        <v>1777</v>
      </c>
      <c r="Z33" s="160" t="s">
        <v>2060</v>
      </c>
      <c r="AA33" s="149">
        <v>0</v>
      </c>
      <c r="AB33" s="149"/>
      <c r="AC33" s="149">
        <v>1974</v>
      </c>
      <c r="AD33" s="149" t="s">
        <v>490</v>
      </c>
      <c r="AE33" s="160">
        <v>100597556</v>
      </c>
      <c r="AF33" s="149"/>
      <c r="AG33" s="149"/>
      <c r="AH33" s="149"/>
      <c r="AI33" s="149"/>
      <c r="AJ33" s="149" t="s">
        <v>1999</v>
      </c>
      <c r="AK33" s="149" t="str">
        <f>VLOOKUP(AL33,MaXa_3cap_2cap!$B$2:$C$369,2,0)</f>
        <v>06910</v>
      </c>
      <c r="AL33" s="149" t="s">
        <v>1776</v>
      </c>
      <c r="AM33" s="149" t="s">
        <v>2000</v>
      </c>
      <c r="AN33" s="149"/>
      <c r="AO33" s="149"/>
      <c r="AP33" s="149" t="s">
        <v>1777</v>
      </c>
      <c r="AQ33" s="149">
        <v>160</v>
      </c>
      <c r="AR33" s="163">
        <v>43</v>
      </c>
      <c r="AS33" s="149">
        <v>1000</v>
      </c>
      <c r="AT33" s="149"/>
      <c r="AU33" s="149" t="str">
        <f>VLOOKUP(CP33,'TT DO DAC'!$B$2:$G$213,5,0)</f>
        <v>Chi nhánh xí nghiệp tài nguyên và môi trường 7</v>
      </c>
      <c r="AV33" s="149"/>
      <c r="AW33" s="149"/>
      <c r="AX33" s="152">
        <f>VLOOKUP(CP33,'TT DO DAC'!$B$2:$G$213,6,0)</f>
        <v>41274</v>
      </c>
      <c r="AY33" s="149" t="s">
        <v>1852</v>
      </c>
      <c r="AZ33" s="149"/>
      <c r="BA33" s="149"/>
      <c r="BB33" s="149" t="s">
        <v>1028</v>
      </c>
      <c r="BC33" s="153" t="str">
        <f>VLOOKUP(BB33,DM_LoaiDat!$B$2:$C$78,2,0)</f>
        <v xml:space="preserve">LUC </v>
      </c>
      <c r="BD33" s="149" t="str">
        <f t="shared" si="2"/>
        <v xml:space="preserve">LUC </v>
      </c>
      <c r="BE33" s="151">
        <v>561</v>
      </c>
      <c r="BF33" s="149">
        <v>0</v>
      </c>
      <c r="BG33" s="149" t="s">
        <v>1779</v>
      </c>
      <c r="BH33" s="149"/>
      <c r="BI33" s="149" t="s">
        <v>204</v>
      </c>
      <c r="BJ33" s="149" t="str">
        <f>VLOOKUP(BI33,DM_NguonGocSuDungDat!$A$2:$B$24,2,0)</f>
        <v>Nhà nước giao đất không thu tiền sử dụng đất</v>
      </c>
      <c r="BK33" s="149"/>
      <c r="BL33" s="149"/>
      <c r="BM33" s="149"/>
      <c r="BN33" s="149"/>
      <c r="BO33" s="149"/>
      <c r="BP33" s="149"/>
      <c r="BQ33" s="149"/>
      <c r="BR33" s="149"/>
      <c r="BS33" s="149"/>
      <c r="BT33" s="149"/>
      <c r="BU33" s="149"/>
      <c r="BV33" s="149"/>
      <c r="BW33" s="149"/>
      <c r="BX33" s="149"/>
      <c r="BY33" s="149"/>
      <c r="BZ33" s="149"/>
      <c r="CA33" s="149"/>
      <c r="CB33" s="149"/>
      <c r="CC33" s="149"/>
      <c r="CD33" s="149"/>
      <c r="CE33" s="149"/>
      <c r="CF33" s="149"/>
      <c r="CG33" s="149"/>
      <c r="CH33" s="149"/>
      <c r="CI33" s="149"/>
      <c r="CJ33" s="149"/>
      <c r="CK33" s="149"/>
      <c r="CL33" s="149"/>
      <c r="CM33" s="149"/>
      <c r="CN33" s="149"/>
      <c r="CO33" s="149"/>
      <c r="CP33" s="149" t="s">
        <v>1776</v>
      </c>
      <c r="CQ33" s="149" t="s">
        <v>2000</v>
      </c>
      <c r="CR33" s="149"/>
      <c r="CS33" s="149"/>
      <c r="CT33" s="149">
        <v>0</v>
      </c>
      <c r="CU33" s="149"/>
      <c r="CV33" s="149" t="s">
        <v>424</v>
      </c>
      <c r="CW33" s="149" t="s">
        <v>2074</v>
      </c>
      <c r="CX33" s="149"/>
      <c r="CY33" s="152">
        <v>44084</v>
      </c>
      <c r="CZ33" s="149" t="s">
        <v>1780</v>
      </c>
      <c r="DA33" s="149">
        <v>0</v>
      </c>
      <c r="DB33" s="149">
        <v>1</v>
      </c>
      <c r="DC33" s="149">
        <v>2020</v>
      </c>
      <c r="DD33" s="149"/>
      <c r="DE33" s="149"/>
      <c r="DF33" s="149"/>
      <c r="DG33" s="149"/>
      <c r="DH33" s="149"/>
      <c r="DI33" s="149"/>
      <c r="DJ33" s="149"/>
      <c r="DK33" s="149"/>
      <c r="DL33" s="149"/>
      <c r="DM33" s="149"/>
      <c r="DN33" s="149"/>
      <c r="DO33" s="149"/>
      <c r="DP33" s="149"/>
      <c r="DQ33" s="149"/>
      <c r="DR33" s="149"/>
      <c r="DS33" s="149"/>
      <c r="DT33" s="149"/>
      <c r="DU33" s="149"/>
      <c r="DV33" s="149"/>
      <c r="DW33" s="149"/>
      <c r="DX33" s="149"/>
      <c r="DY33" s="149"/>
      <c r="DZ33" s="149"/>
      <c r="EA33" s="149"/>
      <c r="EB33" s="149"/>
      <c r="EC33" s="149"/>
      <c r="ED33" s="149"/>
      <c r="EE33" s="149"/>
      <c r="EF33" s="149"/>
      <c r="EG33" s="149"/>
      <c r="EH33" s="149"/>
      <c r="EI33" s="149"/>
      <c r="EJ33" s="149"/>
      <c r="EK33" s="149"/>
      <c r="EL33" s="149"/>
      <c r="EM33" s="149"/>
      <c r="EN33" s="149"/>
      <c r="EO33" s="149"/>
      <c r="EP33" s="149"/>
      <c r="EQ33" s="149"/>
      <c r="ER33" s="149"/>
      <c r="ES33" s="149"/>
      <c r="ET33" s="149"/>
      <c r="EU33" s="149"/>
      <c r="EV33" s="149"/>
      <c r="EW33" s="149"/>
      <c r="EX33" s="149"/>
      <c r="EY33" s="149"/>
      <c r="EZ33" s="149"/>
      <c r="FA33" s="149"/>
      <c r="FB33" s="149"/>
      <c r="FC33" s="149"/>
      <c r="FD33" s="149"/>
      <c r="FE33" s="149"/>
      <c r="FF33" s="149"/>
      <c r="FG33" s="149"/>
      <c r="FH33" s="149"/>
      <c r="FI33" s="149"/>
      <c r="FJ33" s="149"/>
      <c r="FK33" s="149"/>
      <c r="FL33" s="149"/>
      <c r="FM33" s="149"/>
      <c r="FN33" s="149"/>
      <c r="FO33" s="149"/>
      <c r="FP33" s="149"/>
      <c r="FQ33" s="149"/>
      <c r="FR33" s="149"/>
      <c r="FS33" s="149"/>
      <c r="FT33" s="149"/>
      <c r="FU33" s="149"/>
      <c r="FV33" s="149"/>
      <c r="FW33" s="149"/>
      <c r="FX33" s="149"/>
      <c r="FY33" s="149"/>
      <c r="FZ33" s="149"/>
      <c r="GA33" s="149"/>
      <c r="GB33" s="149" t="s">
        <v>2075</v>
      </c>
      <c r="GC33" s="149"/>
      <c r="GD33" s="149"/>
      <c r="GE33" s="149"/>
    </row>
    <row r="34" spans="1:187">
      <c r="A34" s="149">
        <v>21</v>
      </c>
      <c r="B34" s="149" t="s">
        <v>2057</v>
      </c>
      <c r="C34" s="149" t="str">
        <f t="shared" si="0"/>
        <v>005392</v>
      </c>
      <c r="D34" s="148" t="s">
        <v>2058</v>
      </c>
      <c r="E34" s="149"/>
      <c r="F34" s="149" t="s">
        <v>497</v>
      </c>
      <c r="G34" s="149">
        <v>1</v>
      </c>
      <c r="H34" s="149"/>
      <c r="I34" s="160" t="s">
        <v>2059</v>
      </c>
      <c r="J34" s="149">
        <v>1</v>
      </c>
      <c r="K34" s="149"/>
      <c r="L34" s="149">
        <v>1971</v>
      </c>
      <c r="M34" s="149" t="s">
        <v>490</v>
      </c>
      <c r="N34" s="162">
        <v>100881850</v>
      </c>
      <c r="O34" s="149"/>
      <c r="P34" s="149"/>
      <c r="Q34" s="149"/>
      <c r="R34" s="149"/>
      <c r="S34" s="149" t="s">
        <v>1999</v>
      </c>
      <c r="T34" s="149" t="str">
        <f>VLOOKUP(U34,MaXa_3cap_2cap!$B$2:$C$369,2,0)</f>
        <v>06910</v>
      </c>
      <c r="U34" s="149" t="s">
        <v>1776</v>
      </c>
      <c r="V34" s="149" t="s">
        <v>2000</v>
      </c>
      <c r="W34" s="149"/>
      <c r="X34" s="149"/>
      <c r="Y34" s="149" t="s">
        <v>1777</v>
      </c>
      <c r="Z34" s="160" t="s">
        <v>2060</v>
      </c>
      <c r="AA34" s="149">
        <v>0</v>
      </c>
      <c r="AB34" s="149"/>
      <c r="AC34" s="149">
        <v>1974</v>
      </c>
      <c r="AD34" s="149" t="s">
        <v>490</v>
      </c>
      <c r="AE34" s="160">
        <v>100597556</v>
      </c>
      <c r="AF34" s="149"/>
      <c r="AG34" s="149"/>
      <c r="AH34" s="149"/>
      <c r="AI34" s="149"/>
      <c r="AJ34" s="149" t="s">
        <v>1999</v>
      </c>
      <c r="AK34" s="149" t="str">
        <f>VLOOKUP(AL34,MaXa_3cap_2cap!$B$2:$C$369,2,0)</f>
        <v>06910</v>
      </c>
      <c r="AL34" s="149" t="s">
        <v>1776</v>
      </c>
      <c r="AM34" s="149" t="s">
        <v>2000</v>
      </c>
      <c r="AN34" s="149"/>
      <c r="AO34" s="149"/>
      <c r="AP34" s="149" t="s">
        <v>1777</v>
      </c>
      <c r="AQ34" s="149">
        <v>130</v>
      </c>
      <c r="AR34" s="163">
        <v>42</v>
      </c>
      <c r="AS34" s="149">
        <v>1000</v>
      </c>
      <c r="AT34" s="149"/>
      <c r="AU34" s="149" t="str">
        <f>VLOOKUP(CP34,'TT DO DAC'!$B$2:$G$213,5,0)</f>
        <v>Chi nhánh xí nghiệp tài nguyên và môi trường 7</v>
      </c>
      <c r="AV34" s="149"/>
      <c r="AW34" s="149"/>
      <c r="AX34" s="152">
        <f>VLOOKUP(CP34,'TT DO DAC'!$B$2:$G$213,6,0)</f>
        <v>41274</v>
      </c>
      <c r="AY34" s="149" t="s">
        <v>1852</v>
      </c>
      <c r="AZ34" s="149"/>
      <c r="BA34" s="149"/>
      <c r="BB34" s="149" t="s">
        <v>1028</v>
      </c>
      <c r="BC34" s="153" t="str">
        <f>VLOOKUP(BB34,DM_LoaiDat!$B$2:$C$78,2,0)</f>
        <v xml:space="preserve">LUC </v>
      </c>
      <c r="BD34" s="149" t="str">
        <f t="shared" si="2"/>
        <v xml:space="preserve">LUC </v>
      </c>
      <c r="BE34" s="151">
        <v>588.70000000000005</v>
      </c>
      <c r="BF34" s="149">
        <v>0</v>
      </c>
      <c r="BG34" s="149" t="s">
        <v>1779</v>
      </c>
      <c r="BH34" s="149"/>
      <c r="BI34" s="149" t="s">
        <v>204</v>
      </c>
      <c r="BJ34" s="149" t="str">
        <f>VLOOKUP(BI34,DM_NguonGocSuDungDat!$A$2:$B$24,2,0)</f>
        <v>Nhà nước giao đất không thu tiền sử dụng đất</v>
      </c>
      <c r="BK34" s="149"/>
      <c r="BL34" s="149"/>
      <c r="BM34" s="149"/>
      <c r="BN34" s="149"/>
      <c r="BO34" s="149"/>
      <c r="BP34" s="149"/>
      <c r="BQ34" s="149"/>
      <c r="BR34" s="149"/>
      <c r="BS34" s="149"/>
      <c r="BT34" s="149"/>
      <c r="BU34" s="149"/>
      <c r="BV34" s="149"/>
      <c r="BW34" s="149"/>
      <c r="BX34" s="149"/>
      <c r="BY34" s="149"/>
      <c r="BZ34" s="149"/>
      <c r="CA34" s="149"/>
      <c r="CB34" s="149"/>
      <c r="CC34" s="149"/>
      <c r="CD34" s="149"/>
      <c r="CE34" s="149"/>
      <c r="CF34" s="149"/>
      <c r="CG34" s="149"/>
      <c r="CH34" s="149"/>
      <c r="CI34" s="149"/>
      <c r="CJ34" s="149"/>
      <c r="CK34" s="149"/>
      <c r="CL34" s="149"/>
      <c r="CM34" s="149"/>
      <c r="CN34" s="149"/>
      <c r="CO34" s="149"/>
      <c r="CP34" s="149" t="s">
        <v>1776</v>
      </c>
      <c r="CQ34" s="149" t="s">
        <v>2000</v>
      </c>
      <c r="CR34" s="149"/>
      <c r="CS34" s="149"/>
      <c r="CT34" s="149">
        <v>0</v>
      </c>
      <c r="CU34" s="149"/>
      <c r="CV34" s="149" t="s">
        <v>424</v>
      </c>
      <c r="CW34" s="149" t="s">
        <v>2074</v>
      </c>
      <c r="CX34" s="149"/>
      <c r="CY34" s="152">
        <v>44084</v>
      </c>
      <c r="CZ34" s="149" t="s">
        <v>1780</v>
      </c>
      <c r="DA34" s="149">
        <v>0</v>
      </c>
      <c r="DB34" s="149">
        <v>1</v>
      </c>
      <c r="DC34" s="149">
        <v>2020</v>
      </c>
      <c r="DD34" s="149"/>
      <c r="DE34" s="149"/>
      <c r="DF34" s="149"/>
      <c r="DG34" s="149"/>
      <c r="DH34" s="149"/>
      <c r="DI34" s="149"/>
      <c r="DJ34" s="149"/>
      <c r="DK34" s="149"/>
      <c r="DL34" s="149"/>
      <c r="DM34" s="149"/>
      <c r="DN34" s="149"/>
      <c r="DO34" s="149"/>
      <c r="DP34" s="149"/>
      <c r="DQ34" s="149"/>
      <c r="DR34" s="149"/>
      <c r="DS34" s="149"/>
      <c r="DT34" s="149"/>
      <c r="DU34" s="149"/>
      <c r="DV34" s="149"/>
      <c r="DW34" s="149"/>
      <c r="DX34" s="149"/>
      <c r="DY34" s="149"/>
      <c r="DZ34" s="149"/>
      <c r="EA34" s="149"/>
      <c r="EB34" s="149"/>
      <c r="EC34" s="149"/>
      <c r="ED34" s="149"/>
      <c r="EE34" s="149"/>
      <c r="EF34" s="149"/>
      <c r="EG34" s="149"/>
      <c r="EH34" s="149"/>
      <c r="EI34" s="149"/>
      <c r="EJ34" s="149"/>
      <c r="EK34" s="149"/>
      <c r="EL34" s="149"/>
      <c r="EM34" s="149"/>
      <c r="EN34" s="149"/>
      <c r="EO34" s="149"/>
      <c r="EP34" s="149"/>
      <c r="EQ34" s="149"/>
      <c r="ER34" s="149"/>
      <c r="ES34" s="149"/>
      <c r="ET34" s="149"/>
      <c r="EU34" s="149"/>
      <c r="EV34" s="149"/>
      <c r="EW34" s="149"/>
      <c r="EX34" s="149"/>
      <c r="EY34" s="149"/>
      <c r="EZ34" s="149"/>
      <c r="FA34" s="149"/>
      <c r="FB34" s="149"/>
      <c r="FC34" s="149"/>
      <c r="FD34" s="149"/>
      <c r="FE34" s="149"/>
      <c r="FF34" s="149"/>
      <c r="FG34" s="149"/>
      <c r="FH34" s="149"/>
      <c r="FI34" s="149"/>
      <c r="FJ34" s="149"/>
      <c r="FK34" s="149"/>
      <c r="FL34" s="149"/>
      <c r="FM34" s="149"/>
      <c r="FN34" s="149"/>
      <c r="FO34" s="149"/>
      <c r="FP34" s="149"/>
      <c r="FQ34" s="149"/>
      <c r="FR34" s="149"/>
      <c r="FS34" s="149"/>
      <c r="FT34" s="149"/>
      <c r="FU34" s="149"/>
      <c r="FV34" s="149"/>
      <c r="FW34" s="149"/>
      <c r="FX34" s="149"/>
      <c r="FY34" s="149"/>
      <c r="FZ34" s="149"/>
      <c r="GA34" s="149"/>
      <c r="GB34" s="149" t="s">
        <v>2075</v>
      </c>
      <c r="GC34" s="149"/>
      <c r="GD34" s="149"/>
      <c r="GE34" s="149"/>
    </row>
    <row r="35" spans="1:187">
      <c r="A35" s="159">
        <v>0.67361111111111116</v>
      </c>
      <c r="B35" s="149"/>
      <c r="C35" s="149" t="str">
        <f t="shared" si="0"/>
        <v/>
      </c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51"/>
      <c r="O35" s="149"/>
      <c r="P35" s="149"/>
      <c r="Q35" s="149"/>
      <c r="R35" s="149"/>
      <c r="S35" s="149"/>
      <c r="T35" s="149"/>
      <c r="U35" s="149"/>
      <c r="V35" s="149"/>
      <c r="W35" s="149"/>
      <c r="X35" s="149"/>
      <c r="Y35" s="149"/>
      <c r="Z35" s="149"/>
      <c r="AA35" s="149"/>
      <c r="AB35" s="149"/>
      <c r="AC35" s="149"/>
      <c r="AD35" s="149"/>
      <c r="AE35" s="149"/>
      <c r="AF35" s="149"/>
      <c r="AG35" s="149"/>
      <c r="AH35" s="149"/>
      <c r="AI35" s="149"/>
      <c r="AJ35" s="149"/>
      <c r="AK35" s="149"/>
      <c r="AL35" s="149"/>
      <c r="AM35" s="149"/>
      <c r="AN35" s="149"/>
      <c r="AO35" s="149"/>
      <c r="AP35" s="149"/>
      <c r="AQ35" s="149"/>
      <c r="AR35" s="149"/>
      <c r="AS35" s="149"/>
      <c r="AT35" s="149"/>
      <c r="AU35" s="149"/>
      <c r="AV35" s="149"/>
      <c r="AW35" s="149"/>
      <c r="AX35" s="152"/>
      <c r="AY35" s="149"/>
      <c r="AZ35" s="149"/>
      <c r="BA35" s="149"/>
      <c r="BB35" s="149"/>
      <c r="BC35" s="153"/>
      <c r="BD35" s="149"/>
      <c r="BE35" s="151"/>
      <c r="BF35" s="149"/>
      <c r="BG35" s="149"/>
      <c r="BH35" s="149"/>
      <c r="BI35" s="149"/>
      <c r="BJ35" s="149"/>
      <c r="BK35" s="149"/>
      <c r="BL35" s="149"/>
      <c r="BM35" s="149"/>
      <c r="BN35" s="149"/>
      <c r="BO35" s="149"/>
      <c r="BP35" s="149"/>
      <c r="BQ35" s="149"/>
      <c r="BR35" s="149"/>
      <c r="BS35" s="149"/>
      <c r="BT35" s="149"/>
      <c r="BU35" s="149"/>
      <c r="BV35" s="149"/>
      <c r="BW35" s="149"/>
      <c r="BX35" s="149"/>
      <c r="BY35" s="149"/>
      <c r="BZ35" s="149"/>
      <c r="CA35" s="149"/>
      <c r="CB35" s="149"/>
      <c r="CC35" s="149"/>
      <c r="CD35" s="149"/>
      <c r="CE35" s="149"/>
      <c r="CF35" s="149"/>
      <c r="CG35" s="149"/>
      <c r="CH35" s="149"/>
      <c r="CI35" s="149"/>
      <c r="CJ35" s="149"/>
      <c r="CK35" s="149"/>
      <c r="CL35" s="149"/>
      <c r="CM35" s="149"/>
      <c r="CN35" s="149"/>
      <c r="CO35" s="149"/>
      <c r="CP35" s="149"/>
      <c r="CQ35" s="149"/>
      <c r="CR35" s="149"/>
      <c r="CS35" s="149"/>
      <c r="CT35" s="149"/>
      <c r="CU35" s="149"/>
      <c r="CV35" s="149"/>
      <c r="CW35" s="149"/>
      <c r="CX35" s="149"/>
      <c r="CY35" s="149"/>
      <c r="CZ35" s="149"/>
      <c r="DA35" s="149"/>
      <c r="DB35" s="149"/>
      <c r="DC35" s="149"/>
      <c r="DD35" s="149"/>
      <c r="DE35" s="149"/>
      <c r="DF35" s="149"/>
      <c r="DG35" s="149"/>
      <c r="DH35" s="149"/>
      <c r="DI35" s="149"/>
      <c r="DJ35" s="149"/>
      <c r="DK35" s="149"/>
      <c r="DL35" s="149"/>
      <c r="DM35" s="149"/>
      <c r="DN35" s="149"/>
      <c r="DO35" s="149"/>
      <c r="DP35" s="149"/>
      <c r="DQ35" s="149"/>
      <c r="DR35" s="149"/>
      <c r="DS35" s="149"/>
      <c r="DT35" s="149"/>
      <c r="DU35" s="149"/>
      <c r="DV35" s="149"/>
      <c r="DW35" s="149"/>
      <c r="DX35" s="149"/>
      <c r="DY35" s="149"/>
      <c r="DZ35" s="149"/>
      <c r="EA35" s="149"/>
      <c r="EB35" s="149"/>
      <c r="EC35" s="149"/>
      <c r="ED35" s="149"/>
      <c r="EE35" s="149"/>
      <c r="EF35" s="149"/>
      <c r="EG35" s="149"/>
      <c r="EH35" s="149"/>
      <c r="EI35" s="149"/>
      <c r="EJ35" s="149"/>
      <c r="EK35" s="149"/>
      <c r="EL35" s="149"/>
      <c r="EM35" s="149"/>
      <c r="EN35" s="149"/>
      <c r="EO35" s="149"/>
      <c r="EP35" s="149"/>
      <c r="EQ35" s="149"/>
      <c r="ER35" s="149"/>
      <c r="ES35" s="149"/>
      <c r="ET35" s="149"/>
      <c r="EU35" s="149"/>
      <c r="EV35" s="149"/>
      <c r="EW35" s="149"/>
      <c r="EX35" s="149"/>
      <c r="EY35" s="149"/>
      <c r="EZ35" s="149"/>
      <c r="FA35" s="149"/>
      <c r="FB35" s="149"/>
      <c r="FC35" s="149"/>
      <c r="FD35" s="149"/>
      <c r="FE35" s="149"/>
      <c r="FF35" s="149"/>
      <c r="FG35" s="149"/>
      <c r="FH35" s="149"/>
      <c r="FI35" s="149"/>
      <c r="FJ35" s="149"/>
      <c r="FK35" s="149"/>
      <c r="FL35" s="149"/>
      <c r="FM35" s="149"/>
      <c r="FN35" s="149"/>
      <c r="FO35" s="149"/>
      <c r="FP35" s="149"/>
      <c r="FQ35" s="149"/>
      <c r="FR35" s="149"/>
      <c r="FS35" s="149"/>
      <c r="FT35" s="149"/>
      <c r="FU35" s="149"/>
      <c r="FV35" s="149"/>
      <c r="FW35" s="149"/>
      <c r="FX35" s="149"/>
      <c r="FY35" s="149"/>
      <c r="FZ35" s="149"/>
      <c r="GA35" s="149"/>
      <c r="GB35" s="149"/>
      <c r="GC35" s="149"/>
      <c r="GD35" s="149"/>
      <c r="GE35" s="149"/>
    </row>
    <row r="36" spans="1:187" ht="16.2" customHeight="1">
      <c r="A36" s="149">
        <v>22</v>
      </c>
      <c r="B36" s="149" t="s">
        <v>2076</v>
      </c>
      <c r="C36" s="149" t="str">
        <f t="shared" si="0"/>
        <v>005145</v>
      </c>
      <c r="D36" s="148" t="s">
        <v>2077</v>
      </c>
      <c r="E36" s="149"/>
      <c r="F36" s="149" t="s">
        <v>497</v>
      </c>
      <c r="G36" s="149">
        <v>1</v>
      </c>
      <c r="H36" s="149"/>
      <c r="I36" s="164" t="s">
        <v>2078</v>
      </c>
      <c r="J36" s="149">
        <v>1</v>
      </c>
      <c r="K36" s="149"/>
      <c r="L36" s="149">
        <v>1969</v>
      </c>
      <c r="M36" s="149" t="s">
        <v>491</v>
      </c>
      <c r="N36" s="165" t="s">
        <v>2079</v>
      </c>
      <c r="O36" s="149"/>
      <c r="P36" s="149"/>
      <c r="Q36" s="149"/>
      <c r="R36" s="149"/>
      <c r="S36" s="149" t="s">
        <v>1774</v>
      </c>
      <c r="T36" s="149" t="str">
        <f>VLOOKUP(U36,MaXa_3cap_2cap!$B$2:$C$369,2,0)</f>
        <v>06910</v>
      </c>
      <c r="U36" s="149" t="s">
        <v>1776</v>
      </c>
      <c r="V36" s="149" t="s">
        <v>1775</v>
      </c>
      <c r="W36" s="149"/>
      <c r="X36" s="149"/>
      <c r="Y36" s="149" t="s">
        <v>1777</v>
      </c>
      <c r="Z36" s="164" t="s">
        <v>2080</v>
      </c>
      <c r="AA36" s="149">
        <v>0</v>
      </c>
      <c r="AB36" s="149"/>
      <c r="AC36" s="149">
        <v>1971</v>
      </c>
      <c r="AD36" s="149" t="s">
        <v>491</v>
      </c>
      <c r="AE36" s="165" t="s">
        <v>2081</v>
      </c>
      <c r="AF36" s="149"/>
      <c r="AG36" s="149"/>
      <c r="AH36" s="149"/>
      <c r="AI36" s="149"/>
      <c r="AJ36" s="149" t="s">
        <v>1774</v>
      </c>
      <c r="AK36" s="149" t="str">
        <f>VLOOKUP(AL36,MaXa_3cap_2cap!$B$2:$C$369,2,0)</f>
        <v>06910</v>
      </c>
      <c r="AL36" s="149" t="s">
        <v>1776</v>
      </c>
      <c r="AM36" s="149" t="s">
        <v>1775</v>
      </c>
      <c r="AN36" s="149"/>
      <c r="AO36" s="149"/>
      <c r="AP36" s="149" t="s">
        <v>1777</v>
      </c>
      <c r="AQ36" s="158">
        <v>311</v>
      </c>
      <c r="AR36" s="158">
        <v>65</v>
      </c>
      <c r="AS36" s="149">
        <v>1000</v>
      </c>
      <c r="AT36" s="149"/>
      <c r="AU36" s="149" t="str">
        <f>VLOOKUP(CP36,'TT DO DAC'!$B$2:$G$213,5,0)</f>
        <v>Chi nhánh xí nghiệp tài nguyên và môi trường 7</v>
      </c>
      <c r="AV36" s="149"/>
      <c r="AW36" s="149"/>
      <c r="AX36" s="152">
        <f>VLOOKUP(CP36,'TT DO DAC'!$B$2:$G$213,6,0)</f>
        <v>41274</v>
      </c>
      <c r="AY36" s="149" t="s">
        <v>1852</v>
      </c>
      <c r="AZ36" s="149"/>
      <c r="BA36" s="149"/>
      <c r="BB36" s="149" t="s">
        <v>1030</v>
      </c>
      <c r="BC36" s="153" t="str">
        <f>VLOOKUP(BB36,DM_LoaiDat!$B$2:$C$78,2,0)</f>
        <v xml:space="preserve">HNK </v>
      </c>
      <c r="BD36" s="149" t="str">
        <f t="shared" si="2"/>
        <v xml:space="preserve">HNK </v>
      </c>
      <c r="BE36" s="158" t="s">
        <v>2087</v>
      </c>
      <c r="BF36" s="149">
        <v>0</v>
      </c>
      <c r="BG36" s="149" t="s">
        <v>1779</v>
      </c>
      <c r="BH36" s="149"/>
      <c r="BI36" s="149" t="s">
        <v>204</v>
      </c>
      <c r="BJ36" s="149" t="str">
        <f>VLOOKUP(BI36,DM_NguonGocSuDungDat!$A$2:$B$24,2,0)</f>
        <v>Nhà nước giao đất không thu tiền sử dụng đất</v>
      </c>
      <c r="BK36" s="149"/>
      <c r="BL36" s="149"/>
      <c r="BM36" s="149"/>
      <c r="BN36" s="149"/>
      <c r="BO36" s="149"/>
      <c r="BP36" s="149"/>
      <c r="BQ36" s="149"/>
      <c r="BR36" s="149"/>
      <c r="BS36" s="149"/>
      <c r="BT36" s="149"/>
      <c r="BU36" s="149"/>
      <c r="BV36" s="149"/>
      <c r="BW36" s="149"/>
      <c r="BX36" s="149"/>
      <c r="BY36" s="149"/>
      <c r="BZ36" s="149"/>
      <c r="CA36" s="149"/>
      <c r="CB36" s="149"/>
      <c r="CC36" s="149"/>
      <c r="CD36" s="149"/>
      <c r="CE36" s="149"/>
      <c r="CF36" s="149"/>
      <c r="CG36" s="149"/>
      <c r="CH36" s="149"/>
      <c r="CI36" s="149"/>
      <c r="CJ36" s="149"/>
      <c r="CK36" s="149"/>
      <c r="CL36" s="149"/>
      <c r="CM36" s="149"/>
      <c r="CN36" s="149"/>
      <c r="CO36" s="149"/>
      <c r="CP36" s="149" t="s">
        <v>1776</v>
      </c>
      <c r="CQ36" s="149" t="s">
        <v>1775</v>
      </c>
      <c r="CR36" s="149"/>
      <c r="CS36" s="149"/>
      <c r="CT36" s="149">
        <v>0</v>
      </c>
      <c r="CU36" s="149"/>
      <c r="CV36" s="149" t="s">
        <v>424</v>
      </c>
      <c r="CW36" s="149" t="s">
        <v>2096</v>
      </c>
      <c r="CX36" s="149"/>
      <c r="CY36" s="152">
        <v>44173</v>
      </c>
      <c r="CZ36" s="149" t="s">
        <v>1780</v>
      </c>
      <c r="DA36" s="149">
        <v>0</v>
      </c>
      <c r="DB36" s="149">
        <v>1</v>
      </c>
      <c r="DC36" s="149">
        <v>2020</v>
      </c>
      <c r="DD36" s="149"/>
      <c r="DE36" s="149"/>
      <c r="DF36" s="149"/>
      <c r="DG36" s="149"/>
      <c r="DH36" s="149"/>
      <c r="DI36" s="149"/>
      <c r="DJ36" s="149"/>
      <c r="DK36" s="149"/>
      <c r="DL36" s="149"/>
      <c r="DM36" s="149"/>
      <c r="DN36" s="149"/>
      <c r="DO36" s="149"/>
      <c r="DP36" s="149"/>
      <c r="DQ36" s="149"/>
      <c r="DR36" s="149"/>
      <c r="DS36" s="149"/>
      <c r="DT36" s="149"/>
      <c r="DU36" s="149"/>
      <c r="DV36" s="149"/>
      <c r="DW36" s="149"/>
      <c r="DX36" s="149"/>
      <c r="DY36" s="149"/>
      <c r="DZ36" s="149"/>
      <c r="EA36" s="149"/>
      <c r="EB36" s="149"/>
      <c r="EC36" s="149"/>
      <c r="ED36" s="149"/>
      <c r="EE36" s="149"/>
      <c r="EF36" s="149"/>
      <c r="EG36" s="149"/>
      <c r="EH36" s="149"/>
      <c r="EI36" s="149"/>
      <c r="EJ36" s="149"/>
      <c r="EK36" s="149"/>
      <c r="EL36" s="149"/>
      <c r="EM36" s="149"/>
      <c r="EN36" s="149"/>
      <c r="EO36" s="149"/>
      <c r="EP36" s="149"/>
      <c r="EQ36" s="149"/>
      <c r="ER36" s="149"/>
      <c r="ES36" s="149"/>
      <c r="ET36" s="149"/>
      <c r="EU36" s="149"/>
      <c r="EV36" s="149"/>
      <c r="EW36" s="149"/>
      <c r="EX36" s="149"/>
      <c r="EY36" s="149"/>
      <c r="EZ36" s="149"/>
      <c r="FA36" s="149"/>
      <c r="FB36" s="149"/>
      <c r="FC36" s="149"/>
      <c r="FD36" s="149"/>
      <c r="FE36" s="149"/>
      <c r="FF36" s="149"/>
      <c r="FG36" s="149"/>
      <c r="FH36" s="149"/>
      <c r="FI36" s="149"/>
      <c r="FJ36" s="149"/>
      <c r="FK36" s="149"/>
      <c r="FL36" s="149"/>
      <c r="FM36" s="149"/>
      <c r="FN36" s="149"/>
      <c r="FO36" s="149"/>
      <c r="FP36" s="149"/>
      <c r="FQ36" s="149"/>
      <c r="FR36" s="149"/>
      <c r="FS36" s="149"/>
      <c r="FT36" s="149"/>
      <c r="FU36" s="149"/>
      <c r="FV36" s="149"/>
      <c r="FW36" s="149"/>
      <c r="FX36" s="149"/>
      <c r="FY36" s="149"/>
      <c r="FZ36" s="149"/>
      <c r="GA36" s="149"/>
      <c r="GB36" s="149" t="s">
        <v>2097</v>
      </c>
      <c r="GC36" s="149"/>
      <c r="GD36" s="149"/>
      <c r="GE36" s="149"/>
    </row>
    <row r="37" spans="1:187" ht="16.2" customHeight="1">
      <c r="A37" s="149">
        <v>23</v>
      </c>
      <c r="B37" s="149" t="s">
        <v>2076</v>
      </c>
      <c r="C37" s="149" t="str">
        <f t="shared" si="0"/>
        <v>005145</v>
      </c>
      <c r="D37" s="148" t="s">
        <v>2077</v>
      </c>
      <c r="E37" s="149"/>
      <c r="F37" s="149" t="s">
        <v>497</v>
      </c>
      <c r="G37" s="149">
        <v>1</v>
      </c>
      <c r="H37" s="149"/>
      <c r="I37" s="164" t="s">
        <v>2078</v>
      </c>
      <c r="J37" s="149">
        <v>1</v>
      </c>
      <c r="K37" s="149"/>
      <c r="L37" s="149">
        <v>1969</v>
      </c>
      <c r="M37" s="149" t="s">
        <v>491</v>
      </c>
      <c r="N37" s="165" t="s">
        <v>2079</v>
      </c>
      <c r="O37" s="149"/>
      <c r="P37" s="149"/>
      <c r="Q37" s="149"/>
      <c r="R37" s="149"/>
      <c r="S37" s="149" t="s">
        <v>1774</v>
      </c>
      <c r="T37" s="149" t="str">
        <f>VLOOKUP(U37,MaXa_3cap_2cap!$B$2:$C$369,2,0)</f>
        <v>06910</v>
      </c>
      <c r="U37" s="149" t="s">
        <v>1776</v>
      </c>
      <c r="V37" s="149" t="s">
        <v>1775</v>
      </c>
      <c r="W37" s="149"/>
      <c r="X37" s="149"/>
      <c r="Y37" s="149" t="s">
        <v>1777</v>
      </c>
      <c r="Z37" s="164" t="s">
        <v>2080</v>
      </c>
      <c r="AA37" s="149">
        <v>0</v>
      </c>
      <c r="AB37" s="149"/>
      <c r="AC37" s="149">
        <v>1971</v>
      </c>
      <c r="AD37" s="149" t="s">
        <v>491</v>
      </c>
      <c r="AE37" s="165" t="s">
        <v>2081</v>
      </c>
      <c r="AF37" s="149"/>
      <c r="AG37" s="149"/>
      <c r="AH37" s="149"/>
      <c r="AI37" s="149"/>
      <c r="AJ37" s="149" t="s">
        <v>1774</v>
      </c>
      <c r="AK37" s="149" t="str">
        <f>VLOOKUP(AL37,MaXa_3cap_2cap!$B$2:$C$369,2,0)</f>
        <v>06910</v>
      </c>
      <c r="AL37" s="149" t="s">
        <v>1776</v>
      </c>
      <c r="AM37" s="149" t="s">
        <v>1775</v>
      </c>
      <c r="AN37" s="149"/>
      <c r="AO37" s="149"/>
      <c r="AP37" s="149" t="s">
        <v>1777</v>
      </c>
      <c r="AQ37" s="158">
        <v>259</v>
      </c>
      <c r="AR37" s="158">
        <v>76</v>
      </c>
      <c r="AS37" s="149">
        <v>1000</v>
      </c>
      <c r="AT37" s="149"/>
      <c r="AU37" s="149" t="str">
        <f>VLOOKUP(CP37,'TT DO DAC'!$B$2:$G$213,5,0)</f>
        <v>Chi nhánh xí nghiệp tài nguyên và môi trường 7</v>
      </c>
      <c r="AV37" s="149"/>
      <c r="AW37" s="149"/>
      <c r="AX37" s="152">
        <f>VLOOKUP(CP37,'TT DO DAC'!$B$2:$G$213,6,0)</f>
        <v>41274</v>
      </c>
      <c r="AY37" s="149" t="s">
        <v>1852</v>
      </c>
      <c r="AZ37" s="149"/>
      <c r="BA37" s="149"/>
      <c r="BB37" s="149" t="s">
        <v>1030</v>
      </c>
      <c r="BC37" s="153" t="str">
        <f>VLOOKUP(BB37,DM_LoaiDat!$B$2:$C$78,2,0)</f>
        <v xml:space="preserve">HNK </v>
      </c>
      <c r="BD37" s="149" t="str">
        <f t="shared" si="2"/>
        <v xml:space="preserve">HNK </v>
      </c>
      <c r="BE37" s="158" t="s">
        <v>2090</v>
      </c>
      <c r="BF37" s="149">
        <v>0</v>
      </c>
      <c r="BG37" s="149" t="s">
        <v>1779</v>
      </c>
      <c r="BH37" s="149"/>
      <c r="BI37" s="149" t="s">
        <v>204</v>
      </c>
      <c r="BJ37" s="149" t="str">
        <f>VLOOKUP(BI37,DM_NguonGocSuDungDat!$A$2:$B$24,2,0)</f>
        <v>Nhà nước giao đất không thu tiền sử dụng đất</v>
      </c>
      <c r="BK37" s="149"/>
      <c r="BL37" s="149"/>
      <c r="BM37" s="149"/>
      <c r="BN37" s="149"/>
      <c r="BO37" s="149"/>
      <c r="BP37" s="149"/>
      <c r="BQ37" s="149"/>
      <c r="BR37" s="149"/>
      <c r="BS37" s="149"/>
      <c r="BT37" s="149"/>
      <c r="BU37" s="149"/>
      <c r="BV37" s="149"/>
      <c r="BW37" s="149"/>
      <c r="BX37" s="149"/>
      <c r="BY37" s="149"/>
      <c r="BZ37" s="149"/>
      <c r="CA37" s="149"/>
      <c r="CB37" s="149"/>
      <c r="CC37" s="149"/>
      <c r="CD37" s="149"/>
      <c r="CE37" s="149"/>
      <c r="CF37" s="149"/>
      <c r="CG37" s="149"/>
      <c r="CH37" s="149"/>
      <c r="CI37" s="149"/>
      <c r="CJ37" s="149"/>
      <c r="CK37" s="149"/>
      <c r="CL37" s="149"/>
      <c r="CM37" s="149"/>
      <c r="CN37" s="149"/>
      <c r="CO37" s="149"/>
      <c r="CP37" s="149" t="s">
        <v>1776</v>
      </c>
      <c r="CQ37" s="149" t="s">
        <v>1775</v>
      </c>
      <c r="CR37" s="149"/>
      <c r="CS37" s="149"/>
      <c r="CT37" s="149">
        <v>0</v>
      </c>
      <c r="CU37" s="149"/>
      <c r="CV37" s="149" t="s">
        <v>424</v>
      </c>
      <c r="CW37" s="149" t="s">
        <v>2096</v>
      </c>
      <c r="CX37" s="149"/>
      <c r="CY37" s="152">
        <v>44173</v>
      </c>
      <c r="CZ37" s="149" t="s">
        <v>1780</v>
      </c>
      <c r="DA37" s="149">
        <v>0</v>
      </c>
      <c r="DB37" s="149">
        <v>1</v>
      </c>
      <c r="DC37" s="149">
        <v>2020</v>
      </c>
      <c r="DD37" s="149"/>
      <c r="DE37" s="149"/>
      <c r="DF37" s="149"/>
      <c r="DG37" s="149"/>
      <c r="DH37" s="149"/>
      <c r="DI37" s="149"/>
      <c r="DJ37" s="149"/>
      <c r="DK37" s="149"/>
      <c r="DL37" s="149"/>
      <c r="DM37" s="149"/>
      <c r="DN37" s="149"/>
      <c r="DO37" s="149"/>
      <c r="DP37" s="149"/>
      <c r="DQ37" s="149"/>
      <c r="DR37" s="149"/>
      <c r="DS37" s="149"/>
      <c r="DT37" s="149"/>
      <c r="DU37" s="149"/>
      <c r="DV37" s="149"/>
      <c r="DW37" s="149"/>
      <c r="DX37" s="149"/>
      <c r="DY37" s="149"/>
      <c r="DZ37" s="149"/>
      <c r="EA37" s="149"/>
      <c r="EB37" s="149"/>
      <c r="EC37" s="149"/>
      <c r="ED37" s="149"/>
      <c r="EE37" s="149"/>
      <c r="EF37" s="149"/>
      <c r="EG37" s="149"/>
      <c r="EH37" s="149"/>
      <c r="EI37" s="149"/>
      <c r="EJ37" s="149"/>
      <c r="EK37" s="149"/>
      <c r="EL37" s="149"/>
      <c r="EM37" s="149"/>
      <c r="EN37" s="149"/>
      <c r="EO37" s="149"/>
      <c r="EP37" s="149"/>
      <c r="EQ37" s="149"/>
      <c r="ER37" s="149"/>
      <c r="ES37" s="149"/>
      <c r="ET37" s="149"/>
      <c r="EU37" s="149"/>
      <c r="EV37" s="149"/>
      <c r="EW37" s="149"/>
      <c r="EX37" s="149"/>
      <c r="EY37" s="149"/>
      <c r="EZ37" s="149"/>
      <c r="FA37" s="149"/>
      <c r="FB37" s="149"/>
      <c r="FC37" s="149"/>
      <c r="FD37" s="149"/>
      <c r="FE37" s="149"/>
      <c r="FF37" s="149"/>
      <c r="FG37" s="149"/>
      <c r="FH37" s="149"/>
      <c r="FI37" s="149"/>
      <c r="FJ37" s="149"/>
      <c r="FK37" s="149"/>
      <c r="FL37" s="149"/>
      <c r="FM37" s="149"/>
      <c r="FN37" s="149"/>
      <c r="FO37" s="149"/>
      <c r="FP37" s="149"/>
      <c r="FQ37" s="149"/>
      <c r="FR37" s="149"/>
      <c r="FS37" s="149"/>
      <c r="FT37" s="149"/>
      <c r="FU37" s="149"/>
      <c r="FV37" s="149"/>
      <c r="FW37" s="149"/>
      <c r="FX37" s="149"/>
      <c r="FY37" s="149"/>
      <c r="FZ37" s="149"/>
      <c r="GA37" s="149"/>
      <c r="GB37" s="149" t="s">
        <v>2097</v>
      </c>
      <c r="GC37" s="149"/>
      <c r="GD37" s="149"/>
      <c r="GE37" s="149"/>
    </row>
    <row r="38" spans="1:187" ht="14.4" customHeight="1">
      <c r="A38" s="149">
        <v>24</v>
      </c>
      <c r="B38" s="149" t="s">
        <v>2076</v>
      </c>
      <c r="C38" s="149" t="str">
        <f t="shared" si="0"/>
        <v>005145</v>
      </c>
      <c r="D38" s="148" t="s">
        <v>2077</v>
      </c>
      <c r="E38" s="149"/>
      <c r="F38" s="149" t="s">
        <v>497</v>
      </c>
      <c r="G38" s="149">
        <v>1</v>
      </c>
      <c r="H38" s="149"/>
      <c r="I38" s="164" t="s">
        <v>2078</v>
      </c>
      <c r="J38" s="149">
        <v>1</v>
      </c>
      <c r="K38" s="149"/>
      <c r="L38" s="149">
        <v>1969</v>
      </c>
      <c r="M38" s="149" t="s">
        <v>491</v>
      </c>
      <c r="N38" s="165" t="s">
        <v>2079</v>
      </c>
      <c r="O38" s="149"/>
      <c r="P38" s="149"/>
      <c r="Q38" s="149"/>
      <c r="R38" s="149"/>
      <c r="S38" s="149" t="s">
        <v>1774</v>
      </c>
      <c r="T38" s="149" t="str">
        <f>VLOOKUP(U38,MaXa_3cap_2cap!$B$2:$C$369,2,0)</f>
        <v>06910</v>
      </c>
      <c r="U38" s="149" t="s">
        <v>1776</v>
      </c>
      <c r="V38" s="149" t="s">
        <v>1775</v>
      </c>
      <c r="W38" s="149"/>
      <c r="X38" s="149"/>
      <c r="Y38" s="149" t="s">
        <v>1777</v>
      </c>
      <c r="Z38" s="164" t="s">
        <v>2080</v>
      </c>
      <c r="AA38" s="149">
        <v>0</v>
      </c>
      <c r="AB38" s="149"/>
      <c r="AC38" s="149">
        <v>1971</v>
      </c>
      <c r="AD38" s="149" t="s">
        <v>491</v>
      </c>
      <c r="AE38" s="165" t="s">
        <v>2081</v>
      </c>
      <c r="AF38" s="149"/>
      <c r="AG38" s="149"/>
      <c r="AH38" s="149"/>
      <c r="AI38" s="149"/>
      <c r="AJ38" s="149" t="s">
        <v>1774</v>
      </c>
      <c r="AK38" s="149" t="str">
        <f>VLOOKUP(AL38,MaXa_3cap_2cap!$B$2:$C$369,2,0)</f>
        <v>06910</v>
      </c>
      <c r="AL38" s="149" t="s">
        <v>1776</v>
      </c>
      <c r="AM38" s="149" t="s">
        <v>1775</v>
      </c>
      <c r="AN38" s="149"/>
      <c r="AO38" s="149"/>
      <c r="AP38" s="149" t="s">
        <v>1777</v>
      </c>
      <c r="AQ38" s="158">
        <v>310</v>
      </c>
      <c r="AR38" s="158">
        <v>76</v>
      </c>
      <c r="AS38" s="149">
        <v>1000</v>
      </c>
      <c r="AT38" s="149"/>
      <c r="AU38" s="149" t="str">
        <f>VLOOKUP(CP38,'TT DO DAC'!$B$2:$G$213,5,0)</f>
        <v>Chi nhánh xí nghiệp tài nguyên và môi trường 7</v>
      </c>
      <c r="AV38" s="149"/>
      <c r="AW38" s="149"/>
      <c r="AX38" s="152">
        <f>VLOOKUP(CP38,'TT DO DAC'!$B$2:$G$213,6,0)</f>
        <v>41274</v>
      </c>
      <c r="AY38" s="149" t="s">
        <v>1852</v>
      </c>
      <c r="AZ38" s="149"/>
      <c r="BA38" s="149"/>
      <c r="BB38" s="149" t="s">
        <v>1029</v>
      </c>
      <c r="BC38" s="153" t="str">
        <f>VLOOKUP(BB38,DM_LoaiDat!$B$2:$C$78,2,0)</f>
        <v xml:space="preserve">LUK </v>
      </c>
      <c r="BD38" s="149" t="str">
        <f t="shared" si="2"/>
        <v xml:space="preserve">LUK </v>
      </c>
      <c r="BE38" s="158" t="s">
        <v>2093</v>
      </c>
      <c r="BF38" s="149">
        <v>0</v>
      </c>
      <c r="BG38" s="149" t="s">
        <v>1779</v>
      </c>
      <c r="BH38" s="149"/>
      <c r="BI38" s="149" t="s">
        <v>204</v>
      </c>
      <c r="BJ38" s="149" t="str">
        <f>VLOOKUP(BI38,DM_NguonGocSuDungDat!$A$2:$B$24,2,0)</f>
        <v>Nhà nước giao đất không thu tiền sử dụng đất</v>
      </c>
      <c r="BK38" s="149"/>
      <c r="BL38" s="149"/>
      <c r="BM38" s="149"/>
      <c r="BN38" s="149"/>
      <c r="BO38" s="149"/>
      <c r="BP38" s="149"/>
      <c r="BQ38" s="149"/>
      <c r="BR38" s="149"/>
      <c r="BS38" s="149"/>
      <c r="BT38" s="149"/>
      <c r="BU38" s="149"/>
      <c r="BV38" s="149"/>
      <c r="BW38" s="149"/>
      <c r="BX38" s="149"/>
      <c r="BY38" s="149"/>
      <c r="BZ38" s="149"/>
      <c r="CA38" s="149"/>
      <c r="CB38" s="149"/>
      <c r="CC38" s="149"/>
      <c r="CD38" s="149"/>
      <c r="CE38" s="149"/>
      <c r="CF38" s="149"/>
      <c r="CG38" s="149"/>
      <c r="CH38" s="149"/>
      <c r="CI38" s="149"/>
      <c r="CJ38" s="149"/>
      <c r="CK38" s="149"/>
      <c r="CL38" s="149"/>
      <c r="CM38" s="149"/>
      <c r="CN38" s="149"/>
      <c r="CO38" s="149"/>
      <c r="CP38" s="149" t="s">
        <v>1776</v>
      </c>
      <c r="CQ38" s="149" t="s">
        <v>1775</v>
      </c>
      <c r="CR38" s="149"/>
      <c r="CS38" s="149"/>
      <c r="CT38" s="149">
        <v>0</v>
      </c>
      <c r="CU38" s="149"/>
      <c r="CV38" s="149" t="s">
        <v>424</v>
      </c>
      <c r="CW38" s="149" t="s">
        <v>2096</v>
      </c>
      <c r="CX38" s="149"/>
      <c r="CY38" s="152">
        <v>44173</v>
      </c>
      <c r="CZ38" s="149" t="s">
        <v>1780</v>
      </c>
      <c r="DA38" s="149">
        <v>0</v>
      </c>
      <c r="DB38" s="149">
        <v>1</v>
      </c>
      <c r="DC38" s="149">
        <v>2020</v>
      </c>
      <c r="DD38" s="149"/>
      <c r="DE38" s="149"/>
      <c r="DF38" s="149"/>
      <c r="DG38" s="149"/>
      <c r="DH38" s="149"/>
      <c r="DI38" s="149"/>
      <c r="DJ38" s="149"/>
      <c r="DK38" s="149"/>
      <c r="DL38" s="149"/>
      <c r="DM38" s="149"/>
      <c r="DN38" s="149"/>
      <c r="DO38" s="149"/>
      <c r="DP38" s="149"/>
      <c r="DQ38" s="149"/>
      <c r="DR38" s="149"/>
      <c r="DS38" s="149"/>
      <c r="DT38" s="149"/>
      <c r="DU38" s="149"/>
      <c r="DV38" s="149"/>
      <c r="DW38" s="149"/>
      <c r="DX38" s="149"/>
      <c r="DY38" s="149"/>
      <c r="DZ38" s="149"/>
      <c r="EA38" s="149"/>
      <c r="EB38" s="149"/>
      <c r="EC38" s="149"/>
      <c r="ED38" s="149"/>
      <c r="EE38" s="149"/>
      <c r="EF38" s="149"/>
      <c r="EG38" s="149"/>
      <c r="EH38" s="149"/>
      <c r="EI38" s="149"/>
      <c r="EJ38" s="149"/>
      <c r="EK38" s="149"/>
      <c r="EL38" s="149"/>
      <c r="EM38" s="149"/>
      <c r="EN38" s="149"/>
      <c r="EO38" s="149"/>
      <c r="EP38" s="149"/>
      <c r="EQ38" s="149"/>
      <c r="ER38" s="149"/>
      <c r="ES38" s="149"/>
      <c r="ET38" s="149"/>
      <c r="EU38" s="149"/>
      <c r="EV38" s="149"/>
      <c r="EW38" s="149"/>
      <c r="EX38" s="149"/>
      <c r="EY38" s="149"/>
      <c r="EZ38" s="149"/>
      <c r="FA38" s="149"/>
      <c r="FB38" s="149"/>
      <c r="FC38" s="149"/>
      <c r="FD38" s="149"/>
      <c r="FE38" s="149"/>
      <c r="FF38" s="149"/>
      <c r="FG38" s="149"/>
      <c r="FH38" s="149"/>
      <c r="FI38" s="149"/>
      <c r="FJ38" s="149"/>
      <c r="FK38" s="149"/>
      <c r="FL38" s="149"/>
      <c r="FM38" s="149"/>
      <c r="FN38" s="149"/>
      <c r="FO38" s="149"/>
      <c r="FP38" s="149"/>
      <c r="FQ38" s="149"/>
      <c r="FR38" s="149"/>
      <c r="FS38" s="149"/>
      <c r="FT38" s="149"/>
      <c r="FU38" s="149"/>
      <c r="FV38" s="149"/>
      <c r="FW38" s="149"/>
      <c r="FX38" s="149"/>
      <c r="FY38" s="149"/>
      <c r="FZ38" s="149"/>
      <c r="GA38" s="149"/>
      <c r="GB38" s="149" t="s">
        <v>2097</v>
      </c>
      <c r="GC38" s="149"/>
      <c r="GD38" s="149"/>
      <c r="GE38" s="149"/>
    </row>
    <row r="39" spans="1:187">
      <c r="A39" s="159">
        <v>0.68541666666666667</v>
      </c>
      <c r="B39" s="149"/>
      <c r="C39" s="149" t="str">
        <f t="shared" si="0"/>
        <v/>
      </c>
      <c r="D39" s="148"/>
      <c r="E39" s="149"/>
      <c r="F39" s="149"/>
      <c r="G39" s="149"/>
      <c r="H39" s="149"/>
      <c r="I39" s="149"/>
      <c r="J39" s="149"/>
      <c r="K39" s="149"/>
      <c r="L39" s="149"/>
      <c r="M39" s="149"/>
      <c r="N39" s="151"/>
      <c r="O39" s="149"/>
      <c r="P39" s="149"/>
      <c r="Q39" s="149"/>
      <c r="R39" s="149"/>
      <c r="S39" s="149"/>
      <c r="T39" s="149"/>
      <c r="U39" s="149"/>
      <c r="V39" s="149"/>
      <c r="W39" s="149"/>
      <c r="X39" s="149"/>
      <c r="Y39" s="149"/>
      <c r="Z39" s="149"/>
      <c r="AA39" s="149"/>
      <c r="AB39" s="149"/>
      <c r="AC39" s="149"/>
      <c r="AD39" s="149"/>
      <c r="AE39" s="149"/>
      <c r="AF39" s="149"/>
      <c r="AG39" s="149"/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52"/>
      <c r="AY39" s="149"/>
      <c r="AZ39" s="149"/>
      <c r="BA39" s="149"/>
      <c r="BB39" s="149"/>
      <c r="BC39" s="153"/>
      <c r="BD39" s="149"/>
      <c r="BE39" s="151"/>
      <c r="BF39" s="149"/>
      <c r="BG39" s="149"/>
      <c r="BH39" s="149"/>
      <c r="BI39" s="149"/>
      <c r="BJ39" s="149"/>
      <c r="BK39" s="149"/>
      <c r="BL39" s="149"/>
      <c r="BM39" s="149"/>
      <c r="BN39" s="149"/>
      <c r="BO39" s="149"/>
      <c r="BP39" s="149"/>
      <c r="BQ39" s="149"/>
      <c r="BR39" s="149"/>
      <c r="BS39" s="149"/>
      <c r="BT39" s="149"/>
      <c r="BU39" s="149"/>
      <c r="BV39" s="149"/>
      <c r="BW39" s="149"/>
      <c r="BX39" s="149"/>
      <c r="BY39" s="149"/>
      <c r="BZ39" s="149"/>
      <c r="CA39" s="149"/>
      <c r="CB39" s="149"/>
      <c r="CC39" s="149"/>
      <c r="CD39" s="149"/>
      <c r="CE39" s="149"/>
      <c r="CF39" s="149"/>
      <c r="CG39" s="149"/>
      <c r="CH39" s="149"/>
      <c r="CI39" s="149"/>
      <c r="CJ39" s="149"/>
      <c r="CK39" s="149"/>
      <c r="CL39" s="149"/>
      <c r="CM39" s="149"/>
      <c r="CN39" s="149"/>
      <c r="CO39" s="149"/>
      <c r="CP39" s="149"/>
      <c r="CQ39" s="149"/>
      <c r="CR39" s="149"/>
      <c r="CS39" s="149"/>
      <c r="CT39" s="149"/>
      <c r="CU39" s="149"/>
      <c r="CV39" s="149"/>
      <c r="CW39" s="149"/>
      <c r="CX39" s="149"/>
      <c r="CY39" s="149"/>
      <c r="CZ39" s="149"/>
      <c r="DA39" s="149"/>
      <c r="DB39" s="149"/>
      <c r="DC39" s="149"/>
      <c r="DD39" s="149"/>
      <c r="DE39" s="149"/>
      <c r="DF39" s="149"/>
      <c r="DG39" s="149"/>
      <c r="DH39" s="149"/>
      <c r="DI39" s="149"/>
      <c r="DJ39" s="149"/>
      <c r="DK39" s="149"/>
      <c r="DL39" s="149"/>
      <c r="DM39" s="149"/>
      <c r="DN39" s="149"/>
      <c r="DO39" s="149"/>
      <c r="DP39" s="149"/>
      <c r="DQ39" s="149"/>
      <c r="DR39" s="149"/>
      <c r="DS39" s="149"/>
      <c r="DT39" s="149"/>
      <c r="DU39" s="149"/>
      <c r="DV39" s="149"/>
      <c r="DW39" s="149"/>
      <c r="DX39" s="149"/>
      <c r="DY39" s="149"/>
      <c r="DZ39" s="149"/>
      <c r="EA39" s="149"/>
      <c r="EB39" s="149"/>
      <c r="EC39" s="149"/>
      <c r="ED39" s="149"/>
      <c r="EE39" s="149"/>
      <c r="EF39" s="149"/>
      <c r="EG39" s="149"/>
      <c r="EH39" s="149"/>
      <c r="EI39" s="149"/>
      <c r="EJ39" s="149"/>
      <c r="EK39" s="149"/>
      <c r="EL39" s="149"/>
      <c r="EM39" s="149"/>
      <c r="EN39" s="149"/>
      <c r="EO39" s="149"/>
      <c r="EP39" s="149"/>
      <c r="EQ39" s="149"/>
      <c r="ER39" s="149"/>
      <c r="ES39" s="149"/>
      <c r="ET39" s="149"/>
      <c r="EU39" s="149"/>
      <c r="EV39" s="149"/>
      <c r="EW39" s="149"/>
      <c r="EX39" s="149"/>
      <c r="EY39" s="149"/>
      <c r="EZ39" s="149"/>
      <c r="FA39" s="149"/>
      <c r="FB39" s="149"/>
      <c r="FC39" s="149"/>
      <c r="FD39" s="149"/>
      <c r="FE39" s="149"/>
      <c r="FF39" s="149"/>
      <c r="FG39" s="149"/>
      <c r="FH39" s="149"/>
      <c r="FI39" s="149"/>
      <c r="FJ39" s="149"/>
      <c r="FK39" s="149"/>
      <c r="FL39" s="149"/>
      <c r="FM39" s="149"/>
      <c r="FN39" s="149"/>
      <c r="FO39" s="149"/>
      <c r="FP39" s="149"/>
      <c r="FQ39" s="149"/>
      <c r="FR39" s="149"/>
      <c r="FS39" s="149"/>
      <c r="FT39" s="149"/>
      <c r="FU39" s="149"/>
      <c r="FV39" s="149"/>
      <c r="FW39" s="149"/>
      <c r="FX39" s="149"/>
      <c r="FY39" s="149"/>
      <c r="FZ39" s="149"/>
      <c r="GA39" s="149"/>
      <c r="GB39" s="149"/>
      <c r="GC39" s="149"/>
      <c r="GD39" s="149"/>
      <c r="GE39" s="149"/>
    </row>
    <row r="40" spans="1:187">
      <c r="A40" s="149">
        <v>25</v>
      </c>
      <c r="B40" s="149" t="s">
        <v>2098</v>
      </c>
      <c r="C40" s="149" t="str">
        <f t="shared" si="0"/>
        <v>002699</v>
      </c>
      <c r="D40" s="148" t="s">
        <v>2099</v>
      </c>
      <c r="E40" s="149"/>
      <c r="F40" s="149" t="s">
        <v>497</v>
      </c>
      <c r="G40" s="149">
        <v>1</v>
      </c>
      <c r="H40" s="149"/>
      <c r="I40" s="166" t="s">
        <v>2100</v>
      </c>
      <c r="J40" s="149">
        <v>1</v>
      </c>
      <c r="K40" s="149"/>
      <c r="L40" s="149">
        <v>1982</v>
      </c>
      <c r="M40" s="149" t="s">
        <v>491</v>
      </c>
      <c r="N40" s="167" t="s">
        <v>2101</v>
      </c>
      <c r="O40" s="149"/>
      <c r="P40" s="149"/>
      <c r="Q40" s="149"/>
      <c r="R40" s="149"/>
      <c r="S40" s="149" t="s">
        <v>2102</v>
      </c>
      <c r="T40" s="149" t="str">
        <f>VLOOKUP(U40,MaXa_3cap_2cap!$B$2:$C$369,2,0)</f>
        <v>06895</v>
      </c>
      <c r="U40" s="149" t="s">
        <v>2103</v>
      </c>
      <c r="V40" s="149" t="s">
        <v>2104</v>
      </c>
      <c r="W40" s="149"/>
      <c r="X40" s="149"/>
      <c r="Y40" s="149" t="s">
        <v>1777</v>
      </c>
      <c r="Z40" s="134" t="s">
        <v>2105</v>
      </c>
      <c r="AA40" s="149">
        <v>0</v>
      </c>
      <c r="AB40" s="149"/>
      <c r="AC40" s="149">
        <v>1988</v>
      </c>
      <c r="AD40" s="149" t="s">
        <v>490</v>
      </c>
      <c r="AE40" s="135">
        <v>100971117</v>
      </c>
      <c r="AF40" s="149"/>
      <c r="AG40" s="149"/>
      <c r="AH40" s="149"/>
      <c r="AI40" s="149"/>
      <c r="AJ40" s="149" t="s">
        <v>2102</v>
      </c>
      <c r="AK40" s="149" t="str">
        <f>VLOOKUP(AL40,MaXa_3cap_2cap!$B$2:$C$369,2,0)</f>
        <v>06895</v>
      </c>
      <c r="AL40" s="149" t="s">
        <v>2103</v>
      </c>
      <c r="AM40" s="149" t="s">
        <v>2104</v>
      </c>
      <c r="AN40" s="149"/>
      <c r="AO40" s="149"/>
      <c r="AP40" s="149" t="s">
        <v>1777</v>
      </c>
      <c r="AQ40" s="170">
        <v>348</v>
      </c>
      <c r="AR40" s="170">
        <v>24</v>
      </c>
      <c r="AS40" s="149">
        <v>1000</v>
      </c>
      <c r="AT40" s="149"/>
      <c r="AU40" s="149" t="str">
        <f>VLOOKUP(CP40,'TT DO DAC'!$B$2:$G$213,5,0)</f>
        <v>Chi nhánh xí nghiệp tài nguyên và môi trường 3</v>
      </c>
      <c r="AV40" s="149"/>
      <c r="AW40" s="149"/>
      <c r="AX40" s="152">
        <f>VLOOKUP(CP40,'TT DO DAC'!$B$2:$G$213,6,0)</f>
        <v>41442</v>
      </c>
      <c r="AY40" s="149" t="s">
        <v>1852</v>
      </c>
      <c r="AZ40" s="149"/>
      <c r="BA40" s="149"/>
      <c r="BB40" s="149" t="s">
        <v>1028</v>
      </c>
      <c r="BC40" s="153" t="str">
        <f>VLOOKUP(BB40,DM_LoaiDat!$B$2:$C$78,2,0)</f>
        <v xml:space="preserve">LUC </v>
      </c>
      <c r="BD40" s="149" t="str">
        <f t="shared" si="2"/>
        <v xml:space="preserve">LUC </v>
      </c>
      <c r="BE40" s="151" t="s">
        <v>2107</v>
      </c>
      <c r="BF40" s="149">
        <v>0</v>
      </c>
      <c r="BG40" s="149" t="s">
        <v>2004</v>
      </c>
      <c r="BH40" s="149"/>
      <c r="BI40" s="171"/>
      <c r="BJ40" s="149"/>
      <c r="BK40" s="149"/>
      <c r="BL40" s="149"/>
      <c r="BM40" s="149"/>
      <c r="BN40" s="149"/>
      <c r="BO40" s="149"/>
      <c r="BP40" s="149"/>
      <c r="BQ40" s="149"/>
      <c r="BR40" s="149"/>
      <c r="BS40" s="149"/>
      <c r="BT40" s="149"/>
      <c r="BU40" s="149"/>
      <c r="BV40" s="149"/>
      <c r="BW40" s="149"/>
      <c r="BX40" s="149"/>
      <c r="BY40" s="149"/>
      <c r="BZ40" s="149"/>
      <c r="CA40" s="149"/>
      <c r="CB40" s="149"/>
      <c r="CC40" s="149"/>
      <c r="CD40" s="149"/>
      <c r="CE40" s="149"/>
      <c r="CF40" s="149"/>
      <c r="CG40" s="149"/>
      <c r="CH40" s="149"/>
      <c r="CI40" s="149"/>
      <c r="CJ40" s="149"/>
      <c r="CK40" s="149"/>
      <c r="CL40" s="149"/>
      <c r="CM40" s="149"/>
      <c r="CN40" s="149"/>
      <c r="CO40" s="149"/>
      <c r="CP40" s="173" t="s">
        <v>2125</v>
      </c>
      <c r="CQ40" s="172" t="s">
        <v>2126</v>
      </c>
      <c r="CR40" s="149"/>
      <c r="CS40" s="149"/>
      <c r="CT40" s="149">
        <v>0</v>
      </c>
      <c r="CU40" s="149"/>
      <c r="CV40" s="149" t="s">
        <v>424</v>
      </c>
      <c r="CW40" s="149" t="s">
        <v>2112</v>
      </c>
      <c r="CX40" s="149"/>
      <c r="CY40" s="149" t="s">
        <v>2114</v>
      </c>
      <c r="CZ40" s="149" t="s">
        <v>2116</v>
      </c>
      <c r="DA40" s="149">
        <v>0</v>
      </c>
      <c r="DB40" s="149">
        <v>1</v>
      </c>
      <c r="DC40" s="149">
        <v>2020</v>
      </c>
      <c r="DD40" s="149"/>
      <c r="DE40" s="149"/>
      <c r="DF40" s="149"/>
      <c r="DG40" s="149"/>
      <c r="DH40" s="149"/>
      <c r="DI40" s="149"/>
      <c r="DJ40" s="149"/>
      <c r="DK40" s="149"/>
      <c r="DL40" s="149"/>
      <c r="DM40" s="149"/>
      <c r="DN40" s="149"/>
      <c r="DO40" s="149"/>
      <c r="DP40" s="149"/>
      <c r="DQ40" s="149"/>
      <c r="DR40" s="149"/>
      <c r="DS40" s="149"/>
      <c r="DT40" s="149"/>
      <c r="DU40" s="149"/>
      <c r="DV40" s="149"/>
      <c r="DW40" s="149"/>
      <c r="DX40" s="149"/>
      <c r="DY40" s="149"/>
      <c r="DZ40" s="149"/>
      <c r="EA40" s="149"/>
      <c r="EB40" s="149"/>
      <c r="EC40" s="149"/>
      <c r="ED40" s="149"/>
      <c r="EE40" s="149"/>
      <c r="EF40" s="149"/>
      <c r="EG40" s="149"/>
      <c r="EH40" s="149"/>
      <c r="EI40" s="149"/>
      <c r="EJ40" s="149"/>
      <c r="EK40" s="149"/>
      <c r="EL40" s="149"/>
      <c r="EM40" s="149"/>
      <c r="EN40" s="149"/>
      <c r="EO40" s="149"/>
      <c r="EP40" s="149"/>
      <c r="EQ40" s="149"/>
      <c r="ER40" s="149"/>
      <c r="ES40" s="149"/>
      <c r="ET40" s="149"/>
      <c r="EU40" s="149"/>
      <c r="EV40" s="149"/>
      <c r="EW40" s="149"/>
      <c r="EX40" s="149"/>
      <c r="EY40" s="149"/>
      <c r="EZ40" s="149"/>
      <c r="FA40" s="149"/>
      <c r="FB40" s="149"/>
      <c r="FC40" s="149"/>
      <c r="FD40" s="149"/>
      <c r="FE40" s="149"/>
      <c r="FF40" s="149"/>
      <c r="FG40" s="149"/>
      <c r="FH40" s="149"/>
      <c r="FI40" s="149"/>
      <c r="FJ40" s="149"/>
      <c r="FK40" s="149"/>
      <c r="FL40" s="149"/>
      <c r="FM40" s="149"/>
      <c r="FN40" s="149"/>
      <c r="FO40" s="149"/>
      <c r="FP40" s="149"/>
      <c r="FQ40" s="149"/>
      <c r="FR40" s="149"/>
      <c r="FS40" s="149"/>
      <c r="FT40" s="149"/>
      <c r="FU40" s="149"/>
      <c r="FV40" s="149"/>
      <c r="FW40" s="149"/>
      <c r="FX40" s="149"/>
      <c r="FY40" s="149"/>
      <c r="FZ40" s="149"/>
      <c r="GA40" s="149"/>
      <c r="GB40" s="149"/>
      <c r="GC40" s="149"/>
      <c r="GD40" s="149"/>
      <c r="GE40" s="149"/>
    </row>
    <row r="41" spans="1:187">
      <c r="A41" s="149">
        <v>26</v>
      </c>
      <c r="B41" s="149" t="s">
        <v>2098</v>
      </c>
      <c r="C41" s="149" t="str">
        <f t="shared" si="0"/>
        <v>002699</v>
      </c>
      <c r="D41" s="148" t="s">
        <v>2099</v>
      </c>
      <c r="E41" s="149"/>
      <c r="F41" s="149" t="s">
        <v>497</v>
      </c>
      <c r="G41" s="149">
        <v>1</v>
      </c>
      <c r="H41" s="149"/>
      <c r="I41" s="166" t="s">
        <v>2100</v>
      </c>
      <c r="J41" s="149">
        <v>1</v>
      </c>
      <c r="K41" s="149"/>
      <c r="L41" s="149">
        <v>1982</v>
      </c>
      <c r="M41" s="149" t="s">
        <v>491</v>
      </c>
      <c r="N41" s="167" t="s">
        <v>2101</v>
      </c>
      <c r="O41" s="149"/>
      <c r="P41" s="149"/>
      <c r="Q41" s="149"/>
      <c r="R41" s="149"/>
      <c r="S41" s="149" t="s">
        <v>2102</v>
      </c>
      <c r="T41" s="149" t="str">
        <f>VLOOKUP(U41,MaXa_3cap_2cap!$B$2:$C$369,2,0)</f>
        <v>06895</v>
      </c>
      <c r="U41" s="149" t="s">
        <v>2103</v>
      </c>
      <c r="V41" s="149" t="s">
        <v>2104</v>
      </c>
      <c r="W41" s="149"/>
      <c r="X41" s="149"/>
      <c r="Y41" s="149" t="s">
        <v>1777</v>
      </c>
      <c r="Z41" s="134" t="s">
        <v>2105</v>
      </c>
      <c r="AA41" s="149">
        <v>0</v>
      </c>
      <c r="AB41" s="149"/>
      <c r="AC41" s="149">
        <v>1988</v>
      </c>
      <c r="AD41" s="149" t="s">
        <v>490</v>
      </c>
      <c r="AE41" s="135">
        <v>100971117</v>
      </c>
      <c r="AF41" s="149"/>
      <c r="AG41" s="149"/>
      <c r="AH41" s="149"/>
      <c r="AI41" s="149"/>
      <c r="AJ41" s="149" t="s">
        <v>2102</v>
      </c>
      <c r="AK41" s="149" t="str">
        <f>VLOOKUP(AL41,MaXa_3cap_2cap!$B$2:$C$369,2,0)</f>
        <v>06895</v>
      </c>
      <c r="AL41" s="149" t="s">
        <v>2103</v>
      </c>
      <c r="AM41" s="149" t="s">
        <v>2104</v>
      </c>
      <c r="AN41" s="149"/>
      <c r="AO41" s="149"/>
      <c r="AP41" s="149" t="s">
        <v>1777</v>
      </c>
      <c r="AQ41" s="170">
        <v>385</v>
      </c>
      <c r="AR41" s="170">
        <v>24</v>
      </c>
      <c r="AS41" s="149">
        <v>1000</v>
      </c>
      <c r="AT41" s="149"/>
      <c r="AU41" s="149" t="str">
        <f>VLOOKUP(CP41,'TT DO DAC'!$B$2:$G$213,5,0)</f>
        <v>Chi nhánh xí nghiệp tài nguyên và môi trường 3</v>
      </c>
      <c r="AV41" s="149"/>
      <c r="AW41" s="149"/>
      <c r="AX41" s="152">
        <f>VLOOKUP(CP41,'TT DO DAC'!$B$2:$G$213,6,0)</f>
        <v>41442</v>
      </c>
      <c r="AY41" s="149" t="s">
        <v>1852</v>
      </c>
      <c r="AZ41" s="149"/>
      <c r="BA41" s="149"/>
      <c r="BB41" s="149" t="s">
        <v>1028</v>
      </c>
      <c r="BC41" s="153" t="str">
        <f>VLOOKUP(BB41,DM_LoaiDat!$B$2:$C$78,2,0)</f>
        <v xml:space="preserve">LUC </v>
      </c>
      <c r="BD41" s="149" t="str">
        <f t="shared" si="2"/>
        <v xml:space="preserve">LUC </v>
      </c>
      <c r="BE41" s="151" t="s">
        <v>2111</v>
      </c>
      <c r="BF41" s="149">
        <v>0</v>
      </c>
      <c r="BG41" s="149" t="s">
        <v>2005</v>
      </c>
      <c r="BH41" s="149"/>
      <c r="BI41" s="171"/>
      <c r="BJ41" s="149"/>
      <c r="BK41" s="149"/>
      <c r="BL41" s="149"/>
      <c r="BM41" s="149"/>
      <c r="BN41" s="149"/>
      <c r="BO41" s="149"/>
      <c r="BP41" s="149"/>
      <c r="BQ41" s="149"/>
      <c r="BR41" s="149"/>
      <c r="BS41" s="149"/>
      <c r="BT41" s="149"/>
      <c r="BU41" s="149"/>
      <c r="BV41" s="149"/>
      <c r="BW41" s="149"/>
      <c r="BX41" s="149"/>
      <c r="BY41" s="149"/>
      <c r="BZ41" s="149"/>
      <c r="CA41" s="149"/>
      <c r="CB41" s="149"/>
      <c r="CC41" s="149"/>
      <c r="CD41" s="149"/>
      <c r="CE41" s="149"/>
      <c r="CF41" s="149"/>
      <c r="CG41" s="149"/>
      <c r="CH41" s="149"/>
      <c r="CI41" s="149"/>
      <c r="CJ41" s="149"/>
      <c r="CK41" s="149"/>
      <c r="CL41" s="149"/>
      <c r="CM41" s="149"/>
      <c r="CN41" s="149"/>
      <c r="CO41" s="149"/>
      <c r="CP41" s="173" t="s">
        <v>2125</v>
      </c>
      <c r="CQ41" s="172" t="s">
        <v>2126</v>
      </c>
      <c r="CR41" s="149"/>
      <c r="CS41" s="149"/>
      <c r="CT41" s="149">
        <v>0</v>
      </c>
      <c r="CU41" s="149"/>
      <c r="CV41" s="149" t="s">
        <v>424</v>
      </c>
      <c r="CW41" s="149" t="s">
        <v>2113</v>
      </c>
      <c r="CX41" s="149"/>
      <c r="CY41" s="149" t="s">
        <v>2115</v>
      </c>
      <c r="CZ41" s="149" t="s">
        <v>2116</v>
      </c>
      <c r="DA41" s="149">
        <v>0</v>
      </c>
      <c r="DB41" s="149">
        <v>1</v>
      </c>
      <c r="DC41" s="149">
        <v>2020</v>
      </c>
      <c r="DD41" s="149"/>
      <c r="DE41" s="149"/>
      <c r="DF41" s="149"/>
      <c r="DG41" s="149"/>
      <c r="DH41" s="149"/>
      <c r="DI41" s="149"/>
      <c r="DJ41" s="149"/>
      <c r="DK41" s="149"/>
      <c r="DL41" s="149"/>
      <c r="DM41" s="149"/>
      <c r="DN41" s="149"/>
      <c r="DO41" s="149"/>
      <c r="DP41" s="149"/>
      <c r="DQ41" s="149"/>
      <c r="DR41" s="149"/>
      <c r="DS41" s="149"/>
      <c r="DT41" s="149"/>
      <c r="DU41" s="149"/>
      <c r="DV41" s="149"/>
      <c r="DW41" s="149"/>
      <c r="DX41" s="149"/>
      <c r="DY41" s="149"/>
      <c r="DZ41" s="149"/>
      <c r="EA41" s="149"/>
      <c r="EB41" s="149"/>
      <c r="EC41" s="149"/>
      <c r="ED41" s="149"/>
      <c r="EE41" s="149"/>
      <c r="EF41" s="149"/>
      <c r="EG41" s="149"/>
      <c r="EH41" s="149"/>
      <c r="EI41" s="149"/>
      <c r="EJ41" s="149"/>
      <c r="EK41" s="149"/>
      <c r="EL41" s="149"/>
      <c r="EM41" s="149"/>
      <c r="EN41" s="149"/>
      <c r="EO41" s="149"/>
      <c r="EP41" s="149"/>
      <c r="EQ41" s="149"/>
      <c r="ER41" s="149"/>
      <c r="ES41" s="149"/>
      <c r="ET41" s="149"/>
      <c r="EU41" s="149"/>
      <c r="EV41" s="149"/>
      <c r="EW41" s="149"/>
      <c r="EX41" s="149"/>
      <c r="EY41" s="149"/>
      <c r="EZ41" s="149"/>
      <c r="FA41" s="149"/>
      <c r="FB41" s="149"/>
      <c r="FC41" s="149"/>
      <c r="FD41" s="149"/>
      <c r="FE41" s="149"/>
      <c r="FF41" s="149"/>
      <c r="FG41" s="149"/>
      <c r="FH41" s="149"/>
      <c r="FI41" s="149"/>
      <c r="FJ41" s="149"/>
      <c r="FK41" s="149"/>
      <c r="FL41" s="149"/>
      <c r="FM41" s="149"/>
      <c r="FN41" s="149"/>
      <c r="FO41" s="149"/>
      <c r="FP41" s="149"/>
      <c r="FQ41" s="149"/>
      <c r="FR41" s="149"/>
      <c r="FS41" s="149"/>
      <c r="FT41" s="149"/>
      <c r="FU41" s="149"/>
      <c r="FV41" s="149"/>
      <c r="FW41" s="149"/>
      <c r="FX41" s="149"/>
      <c r="FY41" s="149"/>
      <c r="FZ41" s="149"/>
      <c r="GA41" s="149"/>
      <c r="GB41" s="149"/>
      <c r="GC41" s="149"/>
      <c r="GD41" s="149"/>
      <c r="GE41" s="149"/>
    </row>
    <row r="42" spans="1:187" ht="13.8" customHeight="1">
      <c r="A42" s="159">
        <v>0.21180555555555555</v>
      </c>
      <c r="B42" s="149"/>
      <c r="C42" s="149" t="str">
        <f t="shared" si="0"/>
        <v/>
      </c>
      <c r="D42" s="148"/>
      <c r="E42" s="149"/>
      <c r="F42" s="149"/>
      <c r="G42" s="149"/>
      <c r="H42" s="149"/>
      <c r="I42" s="166"/>
      <c r="J42" s="149"/>
      <c r="K42" s="149"/>
      <c r="L42" s="149"/>
      <c r="M42" s="149"/>
      <c r="N42" s="167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34"/>
      <c r="AA42" s="149"/>
      <c r="AB42" s="149"/>
      <c r="AC42" s="149"/>
      <c r="AD42" s="149"/>
      <c r="AE42" s="135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52"/>
      <c r="AY42" s="149"/>
      <c r="AZ42" s="149"/>
      <c r="BA42" s="149"/>
      <c r="BB42" s="149"/>
      <c r="BC42" s="153"/>
      <c r="BD42" s="149"/>
      <c r="BE42" s="151"/>
      <c r="BF42" s="149"/>
      <c r="BG42" s="149"/>
      <c r="BH42" s="149"/>
      <c r="BI42" s="149"/>
      <c r="BJ42" s="149"/>
      <c r="BK42" s="149"/>
      <c r="BL42" s="149"/>
      <c r="BM42" s="149"/>
      <c r="BN42" s="149"/>
      <c r="BO42" s="149"/>
      <c r="BP42" s="149"/>
      <c r="BQ42" s="149"/>
      <c r="BR42" s="149"/>
      <c r="BS42" s="149"/>
      <c r="BT42" s="149"/>
      <c r="BU42" s="149"/>
      <c r="BV42" s="149"/>
      <c r="BW42" s="149"/>
      <c r="BX42" s="149"/>
      <c r="BY42" s="149"/>
      <c r="BZ42" s="149"/>
      <c r="CA42" s="149"/>
      <c r="CB42" s="149"/>
      <c r="CC42" s="149"/>
      <c r="CD42" s="149"/>
      <c r="CE42" s="149"/>
      <c r="CF42" s="149"/>
      <c r="CG42" s="149"/>
      <c r="CH42" s="149"/>
      <c r="CI42" s="149"/>
      <c r="CJ42" s="149"/>
      <c r="CK42" s="149"/>
      <c r="CL42" s="149"/>
      <c r="CM42" s="149"/>
      <c r="CN42" s="149"/>
      <c r="CO42" s="149"/>
      <c r="CP42" s="149"/>
      <c r="CQ42" s="149"/>
      <c r="CR42" s="149"/>
      <c r="CS42" s="149"/>
      <c r="CT42" s="149"/>
      <c r="CU42" s="149"/>
      <c r="CV42" s="149"/>
      <c r="CW42" s="149"/>
      <c r="CX42" s="149"/>
      <c r="CY42" s="149"/>
      <c r="CZ42" s="149"/>
      <c r="DA42" s="149"/>
      <c r="DB42" s="149"/>
      <c r="DC42" s="149"/>
      <c r="DD42" s="149"/>
      <c r="DE42" s="149"/>
      <c r="DF42" s="149"/>
      <c r="DG42" s="149"/>
      <c r="DH42" s="149"/>
      <c r="DI42" s="149"/>
      <c r="DJ42" s="149"/>
      <c r="DK42" s="149"/>
      <c r="DL42" s="149"/>
      <c r="DM42" s="149"/>
      <c r="DN42" s="149"/>
      <c r="DO42" s="149"/>
      <c r="DP42" s="149"/>
      <c r="DQ42" s="149"/>
      <c r="DR42" s="149"/>
      <c r="DS42" s="149"/>
      <c r="DT42" s="149"/>
      <c r="DU42" s="149"/>
      <c r="DV42" s="149"/>
      <c r="DW42" s="149"/>
      <c r="DX42" s="149"/>
      <c r="DY42" s="149"/>
      <c r="DZ42" s="149"/>
      <c r="EA42" s="149"/>
      <c r="EB42" s="149"/>
      <c r="EC42" s="149"/>
      <c r="ED42" s="149"/>
      <c r="EE42" s="149"/>
      <c r="EF42" s="149"/>
      <c r="EG42" s="149"/>
      <c r="EH42" s="149"/>
      <c r="EI42" s="149"/>
      <c r="EJ42" s="149"/>
      <c r="EK42" s="149"/>
      <c r="EL42" s="149"/>
      <c r="EM42" s="149"/>
      <c r="EN42" s="149"/>
      <c r="EO42" s="149"/>
      <c r="EP42" s="149"/>
      <c r="EQ42" s="149"/>
      <c r="ER42" s="149"/>
      <c r="ES42" s="149"/>
      <c r="ET42" s="149"/>
      <c r="EU42" s="149"/>
      <c r="EV42" s="149"/>
      <c r="EW42" s="149"/>
      <c r="EX42" s="149"/>
      <c r="EY42" s="149"/>
      <c r="EZ42" s="149"/>
      <c r="FA42" s="149"/>
      <c r="FB42" s="149"/>
      <c r="FC42" s="149"/>
      <c r="FD42" s="149"/>
      <c r="FE42" s="149"/>
      <c r="FF42" s="149"/>
      <c r="FG42" s="149"/>
      <c r="FH42" s="149"/>
      <c r="FI42" s="149"/>
      <c r="FJ42" s="149"/>
      <c r="FK42" s="149"/>
      <c r="FL42" s="149"/>
      <c r="FM42" s="149"/>
      <c r="FN42" s="149"/>
      <c r="FO42" s="149"/>
      <c r="FP42" s="149"/>
      <c r="FQ42" s="149"/>
      <c r="FR42" s="149"/>
      <c r="FS42" s="149"/>
      <c r="FT42" s="149"/>
      <c r="FU42" s="149"/>
      <c r="FV42" s="149"/>
      <c r="FW42" s="149"/>
      <c r="FX42" s="149"/>
      <c r="FY42" s="149"/>
      <c r="FZ42" s="149"/>
      <c r="GA42" s="149"/>
      <c r="GB42" s="149"/>
      <c r="GC42" s="149"/>
      <c r="GD42" s="149"/>
      <c r="GE42" s="149"/>
    </row>
    <row r="43" spans="1:187">
      <c r="A43" s="149">
        <v>27</v>
      </c>
      <c r="B43" s="149" t="s">
        <v>2117</v>
      </c>
      <c r="C43" s="149" t="str">
        <f t="shared" si="0"/>
        <v>002702</v>
      </c>
      <c r="D43" s="148" t="s">
        <v>2119</v>
      </c>
      <c r="E43" s="149"/>
      <c r="F43" s="149" t="s">
        <v>497</v>
      </c>
      <c r="G43" s="149">
        <v>1</v>
      </c>
      <c r="H43" s="149"/>
      <c r="I43" s="166" t="s">
        <v>2100</v>
      </c>
      <c r="J43" s="149">
        <v>1</v>
      </c>
      <c r="K43" s="149"/>
      <c r="L43" s="149">
        <v>1982</v>
      </c>
      <c r="M43" s="149" t="s">
        <v>491</v>
      </c>
      <c r="N43" s="167" t="s">
        <v>2101</v>
      </c>
      <c r="O43" s="149"/>
      <c r="P43" s="149"/>
      <c r="Q43" s="149"/>
      <c r="R43" s="149"/>
      <c r="S43" s="149" t="s">
        <v>2102</v>
      </c>
      <c r="T43" s="149" t="str">
        <f>VLOOKUP(U43,MaXa_3cap_2cap!$B$2:$C$369,2,0)</f>
        <v>06895</v>
      </c>
      <c r="U43" s="149" t="s">
        <v>2103</v>
      </c>
      <c r="V43" s="149" t="s">
        <v>2104</v>
      </c>
      <c r="W43" s="149"/>
      <c r="X43" s="149"/>
      <c r="Y43" s="149" t="s">
        <v>1777</v>
      </c>
      <c r="Z43" s="134" t="s">
        <v>2105</v>
      </c>
      <c r="AA43" s="149">
        <v>0</v>
      </c>
      <c r="AB43" s="149"/>
      <c r="AC43" s="149">
        <v>1988</v>
      </c>
      <c r="AD43" s="149" t="s">
        <v>490</v>
      </c>
      <c r="AE43" s="135">
        <v>100971117</v>
      </c>
      <c r="AF43" s="149"/>
      <c r="AG43" s="149"/>
      <c r="AH43" s="149"/>
      <c r="AI43" s="149"/>
      <c r="AJ43" s="149" t="s">
        <v>2102</v>
      </c>
      <c r="AK43" s="149" t="str">
        <f>VLOOKUP(AL43,MaXa_3cap_2cap!$B$2:$C$369,2,0)</f>
        <v>06895</v>
      </c>
      <c r="AL43" s="149" t="s">
        <v>2103</v>
      </c>
      <c r="AM43" s="149" t="s">
        <v>2104</v>
      </c>
      <c r="AN43" s="149"/>
      <c r="AO43" s="149"/>
      <c r="AP43" s="149" t="s">
        <v>1777</v>
      </c>
      <c r="AQ43" s="149">
        <v>342</v>
      </c>
      <c r="AR43" s="174">
        <v>24</v>
      </c>
      <c r="AS43" s="149">
        <v>1000</v>
      </c>
      <c r="AT43" s="149"/>
      <c r="AU43" s="149" t="e">
        <f>VLOOKUP(CP43,'TT DO DAC'!$B$2:$G$213,5,0)</f>
        <v>#N/A</v>
      </c>
      <c r="AV43" s="149"/>
      <c r="AW43" s="149"/>
      <c r="AX43" s="152" t="e">
        <f>VLOOKUP(CP43,'TT DO DAC'!$B$2:$G$213,6,0)</f>
        <v>#N/A</v>
      </c>
      <c r="AY43" s="149"/>
      <c r="AZ43" s="149"/>
      <c r="BA43" s="149"/>
      <c r="BB43" s="149" t="s">
        <v>1028</v>
      </c>
      <c r="BC43" s="153" t="str">
        <f>VLOOKUP(BB43,DM_LoaiDat!$B$2:$C$78,2,0)</f>
        <v xml:space="preserve">LUC </v>
      </c>
      <c r="BD43" s="149" t="str">
        <f t="shared" si="2"/>
        <v xml:space="preserve">LUC </v>
      </c>
      <c r="BE43" s="151" t="s">
        <v>2127</v>
      </c>
      <c r="BF43" s="149">
        <v>0</v>
      </c>
      <c r="BG43" s="149" t="s">
        <v>2005</v>
      </c>
      <c r="BH43" s="149"/>
      <c r="BI43" s="149"/>
      <c r="BJ43" s="149"/>
      <c r="BK43" s="149"/>
      <c r="BL43" s="149"/>
      <c r="BM43" s="149"/>
      <c r="BN43" s="149"/>
      <c r="BO43" s="149"/>
      <c r="BP43" s="149"/>
      <c r="BQ43" s="149"/>
      <c r="BR43" s="149"/>
      <c r="BS43" s="149"/>
      <c r="BT43" s="149"/>
      <c r="BU43" s="149"/>
      <c r="BV43" s="149"/>
      <c r="BW43" s="149"/>
      <c r="BX43" s="149"/>
      <c r="BY43" s="149"/>
      <c r="BZ43" s="149"/>
      <c r="CA43" s="149"/>
      <c r="CB43" s="149"/>
      <c r="CC43" s="149"/>
      <c r="CD43" s="149"/>
      <c r="CE43" s="149"/>
      <c r="CF43" s="149"/>
      <c r="CG43" s="149"/>
      <c r="CH43" s="149"/>
      <c r="CI43" s="149"/>
      <c r="CJ43" s="149"/>
      <c r="CK43" s="149"/>
      <c r="CL43" s="149"/>
      <c r="CM43" s="149"/>
      <c r="CN43" s="149"/>
      <c r="CO43" s="149"/>
      <c r="CP43" s="149"/>
      <c r="CQ43" s="149"/>
      <c r="CR43" s="149"/>
      <c r="CS43" s="149"/>
      <c r="CT43" s="149"/>
      <c r="CU43" s="149"/>
      <c r="CV43" s="149"/>
      <c r="CW43" s="149"/>
      <c r="CX43" s="149"/>
      <c r="CY43" s="149"/>
      <c r="CZ43" s="149"/>
      <c r="DA43" s="149"/>
      <c r="DB43" s="149"/>
      <c r="DC43" s="149"/>
      <c r="DD43" s="149"/>
      <c r="DE43" s="149"/>
      <c r="DF43" s="149"/>
      <c r="DG43" s="149"/>
      <c r="DH43" s="149"/>
      <c r="DI43" s="149"/>
      <c r="DJ43" s="149"/>
      <c r="DK43" s="149"/>
      <c r="DL43" s="149"/>
      <c r="DM43" s="149"/>
      <c r="DN43" s="149"/>
      <c r="DO43" s="149"/>
      <c r="DP43" s="149"/>
      <c r="DQ43" s="149"/>
      <c r="DR43" s="149"/>
      <c r="DS43" s="149"/>
      <c r="DT43" s="149"/>
      <c r="DU43" s="149"/>
      <c r="DV43" s="149"/>
      <c r="DW43" s="149"/>
      <c r="DX43" s="149"/>
      <c r="DY43" s="149"/>
      <c r="DZ43" s="149"/>
      <c r="EA43" s="149"/>
      <c r="EB43" s="149"/>
      <c r="EC43" s="149"/>
      <c r="ED43" s="149"/>
      <c r="EE43" s="149"/>
      <c r="EF43" s="149"/>
      <c r="EG43" s="149"/>
      <c r="EH43" s="149"/>
      <c r="EI43" s="149"/>
      <c r="EJ43" s="149"/>
      <c r="EK43" s="149"/>
      <c r="EL43" s="149"/>
      <c r="EM43" s="149"/>
      <c r="EN43" s="149"/>
      <c r="EO43" s="149"/>
      <c r="EP43" s="149"/>
      <c r="EQ43" s="149"/>
      <c r="ER43" s="149"/>
      <c r="ES43" s="149"/>
      <c r="ET43" s="149"/>
      <c r="EU43" s="149"/>
      <c r="EV43" s="149"/>
      <c r="EW43" s="149"/>
      <c r="EX43" s="149"/>
      <c r="EY43" s="149"/>
      <c r="EZ43" s="149"/>
      <c r="FA43" s="149"/>
      <c r="FB43" s="149"/>
      <c r="FC43" s="149"/>
      <c r="FD43" s="149"/>
      <c r="FE43" s="149"/>
      <c r="FF43" s="149"/>
      <c r="FG43" s="149"/>
      <c r="FH43" s="149"/>
      <c r="FI43" s="149"/>
      <c r="FJ43" s="149"/>
      <c r="FK43" s="149"/>
      <c r="FL43" s="149"/>
      <c r="FM43" s="149"/>
      <c r="FN43" s="149"/>
      <c r="FO43" s="149"/>
      <c r="FP43" s="149"/>
      <c r="FQ43" s="149"/>
      <c r="FR43" s="149"/>
      <c r="FS43" s="149"/>
      <c r="FT43" s="149"/>
      <c r="FU43" s="149"/>
      <c r="FV43" s="149"/>
      <c r="FW43" s="149"/>
      <c r="FX43" s="149"/>
      <c r="FY43" s="149"/>
      <c r="FZ43" s="149"/>
      <c r="GA43" s="149"/>
      <c r="GB43" s="149"/>
      <c r="GC43" s="149"/>
      <c r="GD43" s="149"/>
      <c r="GE43" s="149"/>
    </row>
    <row r="44" spans="1:187">
      <c r="A44" s="149">
        <v>28</v>
      </c>
      <c r="B44" s="149" t="s">
        <v>2118</v>
      </c>
      <c r="C44" s="149" t="str">
        <f t="shared" si="0"/>
        <v>002702</v>
      </c>
      <c r="D44" s="148" t="s">
        <v>2119</v>
      </c>
      <c r="E44" s="149"/>
      <c r="F44" s="149" t="s">
        <v>497</v>
      </c>
      <c r="G44" s="149">
        <v>1</v>
      </c>
      <c r="H44" s="149"/>
      <c r="I44" s="166" t="s">
        <v>2100</v>
      </c>
      <c r="J44" s="149">
        <v>1</v>
      </c>
      <c r="K44" s="149"/>
      <c r="L44" s="149">
        <v>1982</v>
      </c>
      <c r="M44" s="149" t="s">
        <v>491</v>
      </c>
      <c r="N44" s="167" t="s">
        <v>2101</v>
      </c>
      <c r="O44" s="149"/>
      <c r="P44" s="149"/>
      <c r="Q44" s="149"/>
      <c r="R44" s="149"/>
      <c r="S44" s="149" t="s">
        <v>2102</v>
      </c>
      <c r="T44" s="149" t="str">
        <f>VLOOKUP(U44,MaXa_3cap_2cap!$B$2:$C$369,2,0)</f>
        <v>06895</v>
      </c>
      <c r="U44" s="149" t="s">
        <v>2103</v>
      </c>
      <c r="V44" s="149" t="s">
        <v>2104</v>
      </c>
      <c r="W44" s="149"/>
      <c r="X44" s="149"/>
      <c r="Y44" s="149" t="s">
        <v>1777</v>
      </c>
      <c r="Z44" s="134" t="s">
        <v>2105</v>
      </c>
      <c r="AA44" s="149">
        <v>0</v>
      </c>
      <c r="AB44" s="149"/>
      <c r="AC44" s="149">
        <v>1988</v>
      </c>
      <c r="AD44" s="149" t="s">
        <v>490</v>
      </c>
      <c r="AE44" s="135">
        <v>100971117</v>
      </c>
      <c r="AF44" s="149"/>
      <c r="AG44" s="149"/>
      <c r="AH44" s="149"/>
      <c r="AI44" s="149"/>
      <c r="AJ44" s="149" t="s">
        <v>2102</v>
      </c>
      <c r="AK44" s="149" t="str">
        <f>VLOOKUP(AL44,MaXa_3cap_2cap!$B$2:$C$369,2,0)</f>
        <v>06895</v>
      </c>
      <c r="AL44" s="149" t="s">
        <v>2103</v>
      </c>
      <c r="AM44" s="149" t="s">
        <v>2104</v>
      </c>
      <c r="AN44" s="149"/>
      <c r="AO44" s="149"/>
      <c r="AP44" s="149" t="s">
        <v>1777</v>
      </c>
      <c r="AQ44" s="149">
        <v>356</v>
      </c>
      <c r="AR44" s="174">
        <v>24</v>
      </c>
      <c r="AS44" s="149">
        <v>1000</v>
      </c>
      <c r="AT44" s="149"/>
      <c r="AU44" s="149" t="e">
        <f>VLOOKUP(CP44,'TT DO DAC'!$B$2:$G$213,5,0)</f>
        <v>#N/A</v>
      </c>
      <c r="AV44" s="149"/>
      <c r="AW44" s="149"/>
      <c r="AX44" s="152" t="e">
        <f>VLOOKUP(CP44,'TT DO DAC'!$B$2:$G$213,6,0)</f>
        <v>#N/A</v>
      </c>
      <c r="AY44" s="149"/>
      <c r="AZ44" s="149"/>
      <c r="BA44" s="149"/>
      <c r="BB44" s="149" t="s">
        <v>1028</v>
      </c>
      <c r="BC44" s="153" t="str">
        <f>VLOOKUP(BB44,DM_LoaiDat!$B$2:$C$78,2,0)</f>
        <v xml:space="preserve">LUC </v>
      </c>
      <c r="BD44" s="149" t="str">
        <f t="shared" si="2"/>
        <v xml:space="preserve">LUC </v>
      </c>
      <c r="BE44" s="151" t="s">
        <v>2128</v>
      </c>
      <c r="BF44" s="149">
        <v>0</v>
      </c>
      <c r="BG44" s="149" t="s">
        <v>2005</v>
      </c>
      <c r="BH44" s="149"/>
      <c r="BI44" s="149"/>
      <c r="BJ44" s="149"/>
      <c r="BK44" s="149"/>
      <c r="BL44" s="149"/>
      <c r="BM44" s="149"/>
      <c r="BN44" s="149"/>
      <c r="BO44" s="149"/>
      <c r="BP44" s="149"/>
      <c r="BQ44" s="149"/>
      <c r="BR44" s="149"/>
      <c r="BS44" s="149"/>
      <c r="BT44" s="149"/>
      <c r="BU44" s="149"/>
      <c r="BV44" s="149"/>
      <c r="BW44" s="149"/>
      <c r="BX44" s="149"/>
      <c r="BY44" s="149"/>
      <c r="BZ44" s="149"/>
      <c r="CA44" s="149"/>
      <c r="CB44" s="149"/>
      <c r="CC44" s="149"/>
      <c r="CD44" s="149"/>
      <c r="CE44" s="149"/>
      <c r="CF44" s="149"/>
      <c r="CG44" s="149"/>
      <c r="CH44" s="149"/>
      <c r="CI44" s="149"/>
      <c r="CJ44" s="149"/>
      <c r="CK44" s="149"/>
      <c r="CL44" s="149"/>
      <c r="CM44" s="149"/>
      <c r="CN44" s="149"/>
      <c r="CO44" s="149"/>
      <c r="CP44" s="149"/>
      <c r="CQ44" s="149"/>
      <c r="CR44" s="149"/>
      <c r="CS44" s="149"/>
      <c r="CT44" s="149"/>
      <c r="CU44" s="149"/>
      <c r="CV44" s="149"/>
      <c r="CW44" s="149"/>
      <c r="CX44" s="149"/>
      <c r="CY44" s="149"/>
      <c r="CZ44" s="149"/>
      <c r="DA44" s="149"/>
      <c r="DB44" s="149"/>
      <c r="DC44" s="149"/>
      <c r="DD44" s="149"/>
      <c r="DE44" s="149"/>
      <c r="DF44" s="149"/>
      <c r="DG44" s="149"/>
      <c r="DH44" s="149"/>
      <c r="DI44" s="149"/>
      <c r="DJ44" s="149"/>
      <c r="DK44" s="149"/>
      <c r="DL44" s="149"/>
      <c r="DM44" s="149"/>
      <c r="DN44" s="149"/>
      <c r="DO44" s="149"/>
      <c r="DP44" s="149"/>
      <c r="DQ44" s="149"/>
      <c r="DR44" s="149"/>
      <c r="DS44" s="149"/>
      <c r="DT44" s="149"/>
      <c r="DU44" s="149"/>
      <c r="DV44" s="149"/>
      <c r="DW44" s="149"/>
      <c r="DX44" s="149"/>
      <c r="DY44" s="149"/>
      <c r="DZ44" s="149"/>
      <c r="EA44" s="149"/>
      <c r="EB44" s="149"/>
      <c r="EC44" s="149"/>
      <c r="ED44" s="149"/>
      <c r="EE44" s="149"/>
      <c r="EF44" s="149"/>
      <c r="EG44" s="149"/>
      <c r="EH44" s="149"/>
      <c r="EI44" s="149"/>
      <c r="EJ44" s="149"/>
      <c r="EK44" s="149"/>
      <c r="EL44" s="149"/>
      <c r="EM44" s="149"/>
      <c r="EN44" s="149"/>
      <c r="EO44" s="149"/>
      <c r="EP44" s="149"/>
      <c r="EQ44" s="149"/>
      <c r="ER44" s="149"/>
      <c r="ES44" s="149"/>
      <c r="ET44" s="149"/>
      <c r="EU44" s="149"/>
      <c r="EV44" s="149"/>
      <c r="EW44" s="149"/>
      <c r="EX44" s="149"/>
      <c r="EY44" s="149"/>
      <c r="EZ44" s="149"/>
      <c r="FA44" s="149"/>
      <c r="FB44" s="149"/>
      <c r="FC44" s="149"/>
      <c r="FD44" s="149"/>
      <c r="FE44" s="149"/>
      <c r="FF44" s="149"/>
      <c r="FG44" s="149"/>
      <c r="FH44" s="149"/>
      <c r="FI44" s="149"/>
      <c r="FJ44" s="149"/>
      <c r="FK44" s="149"/>
      <c r="FL44" s="149"/>
      <c r="FM44" s="149"/>
      <c r="FN44" s="149"/>
      <c r="FO44" s="149"/>
      <c r="FP44" s="149"/>
      <c r="FQ44" s="149"/>
      <c r="FR44" s="149"/>
      <c r="FS44" s="149"/>
      <c r="FT44" s="149"/>
      <c r="FU44" s="149"/>
      <c r="FV44" s="149"/>
      <c r="FW44" s="149"/>
      <c r="FX44" s="149"/>
      <c r="FY44" s="149"/>
      <c r="FZ44" s="149"/>
      <c r="GA44" s="149"/>
      <c r="GB44" s="149"/>
      <c r="GC44" s="149"/>
      <c r="GD44" s="149"/>
      <c r="GE44" s="149"/>
    </row>
    <row r="45" spans="1:187">
      <c r="A45" s="149"/>
      <c r="B45" s="149"/>
      <c r="C45" s="149"/>
      <c r="D45" s="149"/>
      <c r="E45" s="149"/>
      <c r="F45" s="149"/>
      <c r="G45" s="149"/>
      <c r="H45" s="149"/>
      <c r="I45" s="166"/>
      <c r="J45" s="149"/>
      <c r="K45" s="149"/>
      <c r="L45" s="149"/>
      <c r="M45" s="149"/>
      <c r="N45" s="167"/>
      <c r="O45" s="149"/>
      <c r="P45" s="149"/>
      <c r="Q45" s="149"/>
      <c r="R45" s="149"/>
      <c r="S45" s="149"/>
      <c r="T45" s="149"/>
      <c r="U45" s="149"/>
      <c r="V45" s="149"/>
      <c r="W45" s="149"/>
      <c r="X45" s="149"/>
      <c r="Y45" s="149"/>
      <c r="Z45" s="134"/>
      <c r="AA45" s="149"/>
      <c r="AB45" s="149"/>
      <c r="AC45" s="149"/>
      <c r="AD45" s="149"/>
      <c r="AE45" s="135"/>
      <c r="AF45" s="149"/>
      <c r="AG45" s="149"/>
      <c r="AH45" s="149"/>
      <c r="AI45" s="149"/>
      <c r="AJ45" s="149"/>
      <c r="AK45" s="149"/>
      <c r="AL45" s="149"/>
      <c r="AM45" s="149"/>
      <c r="AN45" s="149"/>
      <c r="AO45" s="149"/>
      <c r="AP45" s="149"/>
      <c r="AQ45" s="149"/>
      <c r="AR45" s="174"/>
      <c r="AS45" s="149"/>
      <c r="AT45" s="149"/>
      <c r="AU45" s="149"/>
      <c r="AV45" s="149"/>
      <c r="AW45" s="149"/>
      <c r="AX45" s="152"/>
      <c r="AY45" s="149"/>
      <c r="AZ45" s="149"/>
      <c r="BA45" s="149"/>
      <c r="BB45" s="149"/>
      <c r="BC45" s="153"/>
      <c r="BD45" s="149"/>
      <c r="BE45" s="151"/>
      <c r="BF45" s="149"/>
      <c r="BG45" s="149"/>
      <c r="BH45" s="149"/>
      <c r="BI45" s="149"/>
      <c r="BJ45" s="149"/>
      <c r="BK45" s="149"/>
      <c r="BL45" s="149"/>
      <c r="BM45" s="149"/>
      <c r="BN45" s="149"/>
      <c r="BO45" s="149"/>
      <c r="BP45" s="149"/>
      <c r="BQ45" s="149"/>
      <c r="BR45" s="149"/>
      <c r="BS45" s="149"/>
      <c r="BT45" s="149"/>
      <c r="BU45" s="149"/>
      <c r="BV45" s="149"/>
      <c r="BW45" s="149"/>
      <c r="BX45" s="149"/>
      <c r="BY45" s="149"/>
      <c r="BZ45" s="149"/>
      <c r="CA45" s="149"/>
      <c r="CB45" s="149"/>
      <c r="CC45" s="149"/>
      <c r="CD45" s="149"/>
      <c r="CE45" s="149"/>
      <c r="CF45" s="149"/>
      <c r="CG45" s="149"/>
      <c r="CH45" s="149"/>
      <c r="CI45" s="149"/>
      <c r="CJ45" s="149"/>
      <c r="CK45" s="149"/>
      <c r="CL45" s="149"/>
      <c r="CM45" s="149"/>
      <c r="CN45" s="149"/>
      <c r="CO45" s="149"/>
      <c r="CP45" s="149"/>
      <c r="CQ45" s="149"/>
      <c r="CR45" s="149"/>
      <c r="CS45" s="149"/>
      <c r="CT45" s="149"/>
      <c r="CU45" s="149"/>
      <c r="CV45" s="149"/>
      <c r="CW45" s="149"/>
      <c r="CX45" s="149"/>
      <c r="CY45" s="149"/>
      <c r="CZ45" s="149"/>
      <c r="DA45" s="149"/>
      <c r="DB45" s="149"/>
      <c r="DC45" s="149"/>
      <c r="DD45" s="149"/>
      <c r="DE45" s="149"/>
      <c r="DF45" s="149"/>
      <c r="DG45" s="149"/>
      <c r="DH45" s="149"/>
      <c r="DI45" s="149"/>
      <c r="DJ45" s="149"/>
      <c r="DK45" s="149"/>
      <c r="DL45" s="149"/>
      <c r="DM45" s="149"/>
      <c r="DN45" s="149"/>
      <c r="DO45" s="149"/>
      <c r="DP45" s="149"/>
      <c r="DQ45" s="149"/>
      <c r="DR45" s="149"/>
      <c r="DS45" s="149"/>
      <c r="DT45" s="149"/>
      <c r="DU45" s="149"/>
      <c r="DV45" s="149"/>
      <c r="DW45" s="149"/>
      <c r="DX45" s="149"/>
      <c r="DY45" s="149"/>
      <c r="DZ45" s="149"/>
      <c r="EA45" s="149"/>
      <c r="EB45" s="149"/>
      <c r="EC45" s="149"/>
      <c r="ED45" s="149"/>
      <c r="EE45" s="149"/>
      <c r="EF45" s="149"/>
      <c r="EG45" s="149"/>
      <c r="EH45" s="149"/>
      <c r="EI45" s="149"/>
      <c r="EJ45" s="149"/>
      <c r="EK45" s="149"/>
      <c r="EL45" s="149"/>
      <c r="EM45" s="149"/>
      <c r="EN45" s="149"/>
      <c r="EO45" s="149"/>
      <c r="EP45" s="149"/>
      <c r="EQ45" s="149"/>
      <c r="ER45" s="149"/>
      <c r="ES45" s="149"/>
      <c r="ET45" s="149"/>
      <c r="EU45" s="149"/>
      <c r="EV45" s="149"/>
      <c r="EW45" s="149"/>
      <c r="EX45" s="149"/>
      <c r="EY45" s="149"/>
      <c r="EZ45" s="149"/>
      <c r="FA45" s="149"/>
      <c r="FB45" s="149"/>
      <c r="FC45" s="149"/>
      <c r="FD45" s="149"/>
      <c r="FE45" s="149"/>
      <c r="FF45" s="149"/>
      <c r="FG45" s="149"/>
      <c r="FH45" s="149"/>
      <c r="FI45" s="149"/>
      <c r="FJ45" s="149"/>
      <c r="FK45" s="149"/>
      <c r="FL45" s="149"/>
      <c r="FM45" s="149"/>
      <c r="FN45" s="149"/>
      <c r="FO45" s="149"/>
      <c r="FP45" s="149"/>
      <c r="FQ45" s="149"/>
      <c r="FR45" s="149"/>
      <c r="FS45" s="149"/>
      <c r="FT45" s="149"/>
      <c r="FU45" s="149"/>
      <c r="FV45" s="149"/>
      <c r="FW45" s="149"/>
      <c r="FX45" s="149"/>
      <c r="FY45" s="149"/>
      <c r="FZ45" s="149"/>
      <c r="GA45" s="149"/>
      <c r="GB45" s="149"/>
      <c r="GC45" s="149"/>
      <c r="GD45" s="149"/>
      <c r="GE45" s="149"/>
    </row>
    <row r="46" spans="1:187">
      <c r="A46" s="149">
        <v>29</v>
      </c>
      <c r="B46" s="149"/>
      <c r="C46" s="149"/>
      <c r="D46" s="149"/>
      <c r="E46" s="149"/>
      <c r="F46" s="149"/>
      <c r="G46" s="149"/>
      <c r="H46" s="149"/>
      <c r="I46" s="166" t="s">
        <v>2100</v>
      </c>
      <c r="J46" s="149">
        <v>1</v>
      </c>
      <c r="K46" s="149"/>
      <c r="L46" s="149">
        <v>1982</v>
      </c>
      <c r="M46" s="149" t="s">
        <v>491</v>
      </c>
      <c r="N46" s="167" t="s">
        <v>2101</v>
      </c>
      <c r="O46" s="149"/>
      <c r="P46" s="149"/>
      <c r="Q46" s="149"/>
      <c r="R46" s="149"/>
      <c r="S46" s="149" t="s">
        <v>2102</v>
      </c>
      <c r="T46" s="149" t="str">
        <f>VLOOKUP(U46,MaXa_3cap_2cap!$B$2:$C$369,2,0)</f>
        <v>06895</v>
      </c>
      <c r="U46" s="149" t="s">
        <v>2103</v>
      </c>
      <c r="V46" s="149" t="s">
        <v>2104</v>
      </c>
      <c r="W46" s="149"/>
      <c r="X46" s="149"/>
      <c r="Y46" s="149" t="s">
        <v>1777</v>
      </c>
      <c r="Z46" s="134" t="s">
        <v>2105</v>
      </c>
      <c r="AA46" s="149">
        <v>0</v>
      </c>
      <c r="AB46" s="149"/>
      <c r="AC46" s="149">
        <v>1988</v>
      </c>
      <c r="AD46" s="149" t="s">
        <v>490</v>
      </c>
      <c r="AE46" s="135">
        <v>100971117</v>
      </c>
      <c r="AF46" s="149"/>
      <c r="AG46" s="149"/>
      <c r="AH46" s="149"/>
      <c r="AI46" s="149"/>
      <c r="AJ46" s="149" t="s">
        <v>2102</v>
      </c>
      <c r="AK46" s="149" t="str">
        <f>VLOOKUP(AL46,MaXa_3cap_2cap!$B$2:$C$369,2,0)</f>
        <v>06895</v>
      </c>
      <c r="AL46" s="149" t="s">
        <v>2103</v>
      </c>
      <c r="AM46" s="149" t="s">
        <v>2104</v>
      </c>
      <c r="AN46" s="149"/>
      <c r="AO46" s="149"/>
      <c r="AP46" s="149" t="s">
        <v>1777</v>
      </c>
      <c r="AQ46" s="174">
        <v>288</v>
      </c>
      <c r="AR46" s="174">
        <v>24</v>
      </c>
      <c r="AS46" s="149">
        <v>1000</v>
      </c>
      <c r="AT46" s="149"/>
      <c r="AU46" s="149" t="e">
        <f>VLOOKUP(CP46,'TT DO DAC'!$B$2:$G$213,5,0)</f>
        <v>#N/A</v>
      </c>
      <c r="AV46" s="149"/>
      <c r="AW46" s="149"/>
      <c r="AX46" s="152" t="e">
        <f>VLOOKUP(CP46,'TT DO DAC'!$B$2:$G$213,6,0)</f>
        <v>#N/A</v>
      </c>
      <c r="AY46" s="149"/>
      <c r="AZ46" s="149"/>
      <c r="BA46" s="149"/>
      <c r="BB46" s="149" t="s">
        <v>1030</v>
      </c>
      <c r="BC46" s="153" t="str">
        <f>VLOOKUP(BB46,DM_LoaiDat!$B$2:$C$78,2,0)</f>
        <v xml:space="preserve">HNK </v>
      </c>
      <c r="BD46" s="149" t="str">
        <f t="shared" si="2"/>
        <v xml:space="preserve">HNK </v>
      </c>
      <c r="BE46" s="151" t="s">
        <v>2129</v>
      </c>
      <c r="BF46" s="149">
        <v>0</v>
      </c>
      <c r="BG46" s="149" t="s">
        <v>2005</v>
      </c>
      <c r="BH46" s="149"/>
      <c r="BI46" s="149"/>
      <c r="BJ46" s="149"/>
      <c r="BK46" s="149"/>
      <c r="BL46" s="149"/>
      <c r="BM46" s="149"/>
      <c r="BN46" s="149"/>
      <c r="BO46" s="149"/>
      <c r="BP46" s="149"/>
      <c r="BQ46" s="149"/>
      <c r="BR46" s="149"/>
      <c r="BS46" s="149"/>
      <c r="BT46" s="149"/>
      <c r="BU46" s="149"/>
      <c r="BV46" s="149"/>
      <c r="BW46" s="149"/>
      <c r="BX46" s="149"/>
      <c r="BY46" s="149"/>
      <c r="BZ46" s="149"/>
      <c r="CA46" s="149"/>
      <c r="CB46" s="149"/>
      <c r="CC46" s="149"/>
      <c r="CD46" s="149"/>
      <c r="CE46" s="149"/>
      <c r="CF46" s="149"/>
      <c r="CG46" s="149"/>
      <c r="CH46" s="149"/>
      <c r="CI46" s="149"/>
      <c r="CJ46" s="149"/>
      <c r="CK46" s="149"/>
      <c r="CL46" s="149"/>
      <c r="CM46" s="149"/>
      <c r="CN46" s="149"/>
      <c r="CO46" s="149"/>
      <c r="CP46" s="149"/>
      <c r="CQ46" s="149"/>
      <c r="CR46" s="149"/>
      <c r="CS46" s="149"/>
      <c r="CT46" s="149"/>
      <c r="CU46" s="149"/>
      <c r="CV46" s="149"/>
      <c r="CW46" s="149"/>
      <c r="CX46" s="149"/>
      <c r="CY46" s="149"/>
      <c r="CZ46" s="149"/>
      <c r="DA46" s="149"/>
      <c r="DB46" s="149"/>
      <c r="DC46" s="149"/>
      <c r="DD46" s="149"/>
      <c r="DE46" s="149"/>
      <c r="DF46" s="149"/>
      <c r="DG46" s="149"/>
      <c r="DH46" s="149"/>
      <c r="DI46" s="149"/>
      <c r="DJ46" s="149"/>
      <c r="DK46" s="149"/>
      <c r="DL46" s="149"/>
      <c r="DM46" s="149"/>
      <c r="DN46" s="149"/>
      <c r="DO46" s="149"/>
      <c r="DP46" s="149"/>
      <c r="DQ46" s="149"/>
      <c r="DR46" s="149"/>
      <c r="DS46" s="149"/>
      <c r="DT46" s="149"/>
      <c r="DU46" s="149"/>
      <c r="DV46" s="149"/>
      <c r="DW46" s="149"/>
      <c r="DX46" s="149"/>
      <c r="DY46" s="149"/>
      <c r="DZ46" s="149"/>
      <c r="EA46" s="149"/>
      <c r="EB46" s="149"/>
      <c r="EC46" s="149"/>
      <c r="ED46" s="149"/>
      <c r="EE46" s="149"/>
      <c r="EF46" s="149"/>
      <c r="EG46" s="149"/>
      <c r="EH46" s="149"/>
      <c r="EI46" s="149"/>
      <c r="EJ46" s="149"/>
      <c r="EK46" s="149"/>
      <c r="EL46" s="149"/>
      <c r="EM46" s="149"/>
      <c r="EN46" s="149"/>
      <c r="EO46" s="149"/>
      <c r="EP46" s="149"/>
      <c r="EQ46" s="149"/>
      <c r="ER46" s="149"/>
      <c r="ES46" s="149"/>
      <c r="ET46" s="149"/>
      <c r="EU46" s="149"/>
      <c r="EV46" s="149"/>
      <c r="EW46" s="149"/>
      <c r="EX46" s="149"/>
      <c r="EY46" s="149"/>
      <c r="EZ46" s="149"/>
      <c r="FA46" s="149"/>
      <c r="FB46" s="149"/>
      <c r="FC46" s="149"/>
      <c r="FD46" s="149"/>
      <c r="FE46" s="149"/>
      <c r="FF46" s="149"/>
      <c r="FG46" s="149"/>
      <c r="FH46" s="149"/>
      <c r="FI46" s="149"/>
      <c r="FJ46" s="149"/>
      <c r="FK46" s="149"/>
      <c r="FL46" s="149"/>
      <c r="FM46" s="149"/>
      <c r="FN46" s="149"/>
      <c r="FO46" s="149"/>
      <c r="FP46" s="149"/>
      <c r="FQ46" s="149"/>
      <c r="FR46" s="149"/>
      <c r="FS46" s="149"/>
      <c r="FT46" s="149"/>
      <c r="FU46" s="149"/>
      <c r="FV46" s="149"/>
      <c r="FW46" s="149"/>
      <c r="FX46" s="149"/>
      <c r="FY46" s="149"/>
      <c r="FZ46" s="149"/>
      <c r="GA46" s="149"/>
      <c r="GB46" s="149"/>
      <c r="GC46" s="149"/>
      <c r="GD46" s="149"/>
      <c r="GE46" s="149"/>
    </row>
    <row r="47" spans="1:187">
      <c r="A47" s="149">
        <v>30</v>
      </c>
      <c r="B47" s="149"/>
      <c r="C47" s="149"/>
      <c r="D47" s="149"/>
      <c r="E47" s="149"/>
      <c r="F47" s="149"/>
      <c r="G47" s="149"/>
      <c r="H47" s="149"/>
      <c r="I47" s="166" t="s">
        <v>2100</v>
      </c>
      <c r="J47" s="149">
        <v>1</v>
      </c>
      <c r="K47" s="149"/>
      <c r="L47" s="149">
        <v>1982</v>
      </c>
      <c r="M47" s="149" t="s">
        <v>491</v>
      </c>
      <c r="N47" s="167" t="s">
        <v>2101</v>
      </c>
      <c r="O47" s="149"/>
      <c r="P47" s="149"/>
      <c r="Q47" s="149"/>
      <c r="R47" s="149"/>
      <c r="S47" s="149" t="s">
        <v>2102</v>
      </c>
      <c r="T47" s="149" t="str">
        <f>VLOOKUP(U47,MaXa_3cap_2cap!$B$2:$C$369,2,0)</f>
        <v>06895</v>
      </c>
      <c r="U47" s="149" t="s">
        <v>2103</v>
      </c>
      <c r="V47" s="149" t="s">
        <v>2104</v>
      </c>
      <c r="W47" s="149"/>
      <c r="X47" s="149"/>
      <c r="Y47" s="149" t="s">
        <v>1777</v>
      </c>
      <c r="Z47" s="134" t="s">
        <v>2105</v>
      </c>
      <c r="AA47" s="149">
        <v>0</v>
      </c>
      <c r="AB47" s="149"/>
      <c r="AC47" s="149">
        <v>1988</v>
      </c>
      <c r="AD47" s="149" t="s">
        <v>490</v>
      </c>
      <c r="AE47" s="135">
        <v>100971117</v>
      </c>
      <c r="AF47" s="149"/>
      <c r="AG47" s="149"/>
      <c r="AH47" s="149"/>
      <c r="AI47" s="149"/>
      <c r="AJ47" s="149" t="s">
        <v>2102</v>
      </c>
      <c r="AK47" s="149" t="str">
        <f>VLOOKUP(AL47,MaXa_3cap_2cap!$B$2:$C$369,2,0)</f>
        <v>06895</v>
      </c>
      <c r="AL47" s="149" t="s">
        <v>2103</v>
      </c>
      <c r="AM47" s="149" t="s">
        <v>2104</v>
      </c>
      <c r="AN47" s="149"/>
      <c r="AO47" s="149"/>
      <c r="AP47" s="149" t="s">
        <v>1777</v>
      </c>
      <c r="AQ47" s="174">
        <v>389</v>
      </c>
      <c r="AR47" s="174">
        <v>24</v>
      </c>
      <c r="AS47" s="149">
        <v>1000</v>
      </c>
      <c r="AT47" s="149"/>
      <c r="AU47" s="149" t="e">
        <f>VLOOKUP(CP47,'TT DO DAC'!$B$2:$G$213,5,0)</f>
        <v>#N/A</v>
      </c>
      <c r="AV47" s="149"/>
      <c r="AW47" s="149"/>
      <c r="AX47" s="152" t="e">
        <f>VLOOKUP(CP47,'TT DO DAC'!$B$2:$G$213,6,0)</f>
        <v>#N/A</v>
      </c>
      <c r="AY47" s="149"/>
      <c r="AZ47" s="149"/>
      <c r="BA47" s="149"/>
      <c r="BB47" s="149" t="s">
        <v>1028</v>
      </c>
      <c r="BC47" s="153" t="str">
        <f>VLOOKUP(BB47,DM_LoaiDat!$B$2:$C$78,2,0)</f>
        <v xml:space="preserve">LUC </v>
      </c>
      <c r="BD47" s="149" t="str">
        <f t="shared" si="2"/>
        <v xml:space="preserve">LUC </v>
      </c>
      <c r="BE47" s="151" t="s">
        <v>2130</v>
      </c>
      <c r="BF47" s="149">
        <v>0</v>
      </c>
      <c r="BG47" s="149" t="s">
        <v>2005</v>
      </c>
      <c r="BH47" s="149"/>
      <c r="BI47" s="149"/>
      <c r="BJ47" s="149"/>
      <c r="BK47" s="149"/>
      <c r="BL47" s="149"/>
      <c r="BM47" s="149"/>
      <c r="BN47" s="149"/>
      <c r="BO47" s="149"/>
      <c r="BP47" s="149"/>
      <c r="BQ47" s="149"/>
      <c r="BR47" s="149"/>
      <c r="BS47" s="149"/>
      <c r="BT47" s="149"/>
      <c r="BU47" s="149"/>
      <c r="BV47" s="149"/>
      <c r="BW47" s="149"/>
      <c r="BX47" s="149"/>
      <c r="BY47" s="149"/>
      <c r="BZ47" s="149"/>
      <c r="CA47" s="149"/>
      <c r="CB47" s="149"/>
      <c r="CC47" s="149"/>
      <c r="CD47" s="149"/>
      <c r="CE47" s="149"/>
      <c r="CF47" s="149"/>
      <c r="CG47" s="149"/>
      <c r="CH47" s="149"/>
      <c r="CI47" s="149"/>
      <c r="CJ47" s="149"/>
      <c r="CK47" s="149"/>
      <c r="CL47" s="149"/>
      <c r="CM47" s="149"/>
      <c r="CN47" s="149"/>
      <c r="CO47" s="149"/>
      <c r="CP47" s="149"/>
      <c r="CQ47" s="149"/>
      <c r="CR47" s="149"/>
      <c r="CS47" s="149"/>
      <c r="CT47" s="149"/>
      <c r="CU47" s="149"/>
      <c r="CV47" s="149"/>
      <c r="CW47" s="149"/>
      <c r="CX47" s="149"/>
      <c r="CY47" s="149"/>
      <c r="CZ47" s="149"/>
      <c r="DA47" s="149"/>
      <c r="DB47" s="149"/>
      <c r="DC47" s="149"/>
      <c r="DD47" s="149"/>
      <c r="DE47" s="149"/>
      <c r="DF47" s="149"/>
      <c r="DG47" s="149"/>
      <c r="DH47" s="149"/>
      <c r="DI47" s="149"/>
      <c r="DJ47" s="149"/>
      <c r="DK47" s="149"/>
      <c r="DL47" s="149"/>
      <c r="DM47" s="149"/>
      <c r="DN47" s="149"/>
      <c r="DO47" s="149"/>
      <c r="DP47" s="149"/>
      <c r="DQ47" s="149"/>
      <c r="DR47" s="149"/>
      <c r="DS47" s="149"/>
      <c r="DT47" s="149"/>
      <c r="DU47" s="149"/>
      <c r="DV47" s="149"/>
      <c r="DW47" s="149"/>
      <c r="DX47" s="149"/>
      <c r="DY47" s="149"/>
      <c r="DZ47" s="149"/>
      <c r="EA47" s="149"/>
      <c r="EB47" s="149"/>
      <c r="EC47" s="149"/>
      <c r="ED47" s="149"/>
      <c r="EE47" s="149"/>
      <c r="EF47" s="149"/>
      <c r="EG47" s="149"/>
      <c r="EH47" s="149"/>
      <c r="EI47" s="149"/>
      <c r="EJ47" s="149"/>
      <c r="EK47" s="149"/>
      <c r="EL47" s="149"/>
      <c r="EM47" s="149"/>
      <c r="EN47" s="149"/>
      <c r="EO47" s="149"/>
      <c r="EP47" s="149"/>
      <c r="EQ47" s="149"/>
      <c r="ER47" s="149"/>
      <c r="ES47" s="149"/>
      <c r="ET47" s="149"/>
      <c r="EU47" s="149"/>
      <c r="EV47" s="149"/>
      <c r="EW47" s="149"/>
      <c r="EX47" s="149"/>
      <c r="EY47" s="149"/>
      <c r="EZ47" s="149"/>
      <c r="FA47" s="149"/>
      <c r="FB47" s="149"/>
      <c r="FC47" s="149"/>
      <c r="FD47" s="149"/>
      <c r="FE47" s="149"/>
      <c r="FF47" s="149"/>
      <c r="FG47" s="149"/>
      <c r="FH47" s="149"/>
      <c r="FI47" s="149"/>
      <c r="FJ47" s="149"/>
      <c r="FK47" s="149"/>
      <c r="FL47" s="149"/>
      <c r="FM47" s="149"/>
      <c r="FN47" s="149"/>
      <c r="FO47" s="149"/>
      <c r="FP47" s="149"/>
      <c r="FQ47" s="149"/>
      <c r="FR47" s="149"/>
      <c r="FS47" s="149"/>
      <c r="FT47" s="149"/>
      <c r="FU47" s="149"/>
      <c r="FV47" s="149"/>
      <c r="FW47" s="149"/>
      <c r="FX47" s="149"/>
      <c r="FY47" s="149"/>
      <c r="FZ47" s="149"/>
      <c r="GA47" s="149"/>
      <c r="GB47" s="149"/>
      <c r="GC47" s="149"/>
      <c r="GD47" s="149"/>
      <c r="GE47" s="149"/>
    </row>
    <row r="48" spans="1:187">
      <c r="A48" s="149">
        <v>31</v>
      </c>
      <c r="B48" s="149"/>
      <c r="C48" s="149"/>
      <c r="D48" s="149"/>
      <c r="E48" s="149"/>
      <c r="F48" s="149"/>
      <c r="G48" s="149"/>
      <c r="H48" s="149"/>
      <c r="I48" s="166" t="s">
        <v>2100</v>
      </c>
      <c r="J48" s="149">
        <v>1</v>
      </c>
      <c r="K48" s="149"/>
      <c r="L48" s="149">
        <v>1982</v>
      </c>
      <c r="M48" s="149" t="s">
        <v>491</v>
      </c>
      <c r="N48" s="167" t="s">
        <v>2101</v>
      </c>
      <c r="O48" s="149"/>
      <c r="P48" s="149"/>
      <c r="Q48" s="149"/>
      <c r="R48" s="149"/>
      <c r="S48" s="149" t="s">
        <v>2102</v>
      </c>
      <c r="T48" s="149" t="str">
        <f>VLOOKUP(U48,MaXa_3cap_2cap!$B$2:$C$369,2,0)</f>
        <v>06895</v>
      </c>
      <c r="U48" s="149" t="s">
        <v>2103</v>
      </c>
      <c r="V48" s="149" t="s">
        <v>2104</v>
      </c>
      <c r="W48" s="149"/>
      <c r="X48" s="149"/>
      <c r="Y48" s="149" t="s">
        <v>1777</v>
      </c>
      <c r="Z48" s="134" t="s">
        <v>2105</v>
      </c>
      <c r="AA48" s="149">
        <v>0</v>
      </c>
      <c r="AB48" s="149"/>
      <c r="AC48" s="149">
        <v>1988</v>
      </c>
      <c r="AD48" s="149" t="s">
        <v>490</v>
      </c>
      <c r="AE48" s="135">
        <v>100971117</v>
      </c>
      <c r="AF48" s="149"/>
      <c r="AG48" s="149"/>
      <c r="AH48" s="149"/>
      <c r="AI48" s="149"/>
      <c r="AJ48" s="149" t="s">
        <v>2102</v>
      </c>
      <c r="AK48" s="149" t="str">
        <f>VLOOKUP(AL48,MaXa_3cap_2cap!$B$2:$C$369,2,0)</f>
        <v>06895</v>
      </c>
      <c r="AL48" s="149" t="s">
        <v>2103</v>
      </c>
      <c r="AM48" s="149" t="s">
        <v>2104</v>
      </c>
      <c r="AN48" s="149"/>
      <c r="AO48" s="149"/>
      <c r="AP48" s="149" t="s">
        <v>1777</v>
      </c>
      <c r="AQ48" s="174">
        <v>416</v>
      </c>
      <c r="AR48" s="174">
        <v>24</v>
      </c>
      <c r="AS48" s="149">
        <v>1000</v>
      </c>
      <c r="AT48" s="149"/>
      <c r="AU48" s="149" t="e">
        <f>VLOOKUP(CP48,'TT DO DAC'!$B$2:$G$213,5,0)</f>
        <v>#N/A</v>
      </c>
      <c r="AV48" s="149"/>
      <c r="AW48" s="149"/>
      <c r="AX48" s="152" t="e">
        <f>VLOOKUP(CP48,'TT DO DAC'!$B$2:$G$213,6,0)</f>
        <v>#N/A</v>
      </c>
      <c r="AY48" s="149"/>
      <c r="AZ48" s="149"/>
      <c r="BA48" s="149"/>
      <c r="BB48" s="149" t="s">
        <v>1030</v>
      </c>
      <c r="BC48" s="153" t="str">
        <f>VLOOKUP(BB48,DM_LoaiDat!$B$2:$C$78,2,0)</f>
        <v xml:space="preserve">HNK </v>
      </c>
      <c r="BD48" s="149" t="str">
        <f t="shared" si="2"/>
        <v xml:space="preserve">HNK </v>
      </c>
      <c r="BE48" s="151" t="s">
        <v>2131</v>
      </c>
      <c r="BF48" s="149">
        <v>0</v>
      </c>
      <c r="BG48" s="149" t="s">
        <v>2005</v>
      </c>
      <c r="BH48" s="149"/>
      <c r="BI48" s="149"/>
      <c r="BJ48" s="149"/>
      <c r="BK48" s="149"/>
      <c r="BL48" s="149"/>
      <c r="BM48" s="149"/>
      <c r="BN48" s="149"/>
      <c r="BO48" s="149"/>
      <c r="BP48" s="149"/>
      <c r="BQ48" s="149"/>
      <c r="BR48" s="149"/>
      <c r="BS48" s="149"/>
      <c r="BT48" s="149"/>
      <c r="BU48" s="149"/>
      <c r="BV48" s="149"/>
      <c r="BW48" s="149"/>
      <c r="BX48" s="149"/>
      <c r="BY48" s="149"/>
      <c r="BZ48" s="149"/>
      <c r="CA48" s="149"/>
      <c r="CB48" s="149"/>
      <c r="CC48" s="149"/>
      <c r="CD48" s="149"/>
      <c r="CE48" s="149"/>
      <c r="CF48" s="149"/>
      <c r="CG48" s="149"/>
      <c r="CH48" s="149"/>
      <c r="CI48" s="149"/>
      <c r="CJ48" s="149"/>
      <c r="CK48" s="149"/>
      <c r="CL48" s="149"/>
      <c r="CM48" s="149"/>
      <c r="CN48" s="149"/>
      <c r="CO48" s="149"/>
      <c r="CP48" s="149"/>
      <c r="CQ48" s="149"/>
      <c r="CR48" s="149"/>
      <c r="CS48" s="149"/>
      <c r="CT48" s="149"/>
      <c r="CU48" s="149"/>
      <c r="CV48" s="149"/>
      <c r="CW48" s="149"/>
      <c r="CX48" s="149"/>
      <c r="CY48" s="149"/>
      <c r="CZ48" s="149"/>
      <c r="DA48" s="149"/>
      <c r="DB48" s="149"/>
      <c r="DC48" s="149"/>
      <c r="DD48" s="149"/>
      <c r="DE48" s="149"/>
      <c r="DF48" s="149"/>
      <c r="DG48" s="149"/>
      <c r="DH48" s="149"/>
      <c r="DI48" s="149"/>
      <c r="DJ48" s="149"/>
      <c r="DK48" s="149"/>
      <c r="DL48" s="149"/>
      <c r="DM48" s="149"/>
      <c r="DN48" s="149"/>
      <c r="DO48" s="149"/>
      <c r="DP48" s="149"/>
      <c r="DQ48" s="149"/>
      <c r="DR48" s="149"/>
      <c r="DS48" s="149"/>
      <c r="DT48" s="149"/>
      <c r="DU48" s="149"/>
      <c r="DV48" s="149"/>
      <c r="DW48" s="149"/>
      <c r="DX48" s="149"/>
      <c r="DY48" s="149"/>
      <c r="DZ48" s="149"/>
      <c r="EA48" s="149"/>
      <c r="EB48" s="149"/>
      <c r="EC48" s="149"/>
      <c r="ED48" s="149"/>
      <c r="EE48" s="149"/>
      <c r="EF48" s="149"/>
      <c r="EG48" s="149"/>
      <c r="EH48" s="149"/>
      <c r="EI48" s="149"/>
      <c r="EJ48" s="149"/>
      <c r="EK48" s="149"/>
      <c r="EL48" s="149"/>
      <c r="EM48" s="149"/>
      <c r="EN48" s="149"/>
      <c r="EO48" s="149"/>
      <c r="EP48" s="149"/>
      <c r="EQ48" s="149"/>
      <c r="ER48" s="149"/>
      <c r="ES48" s="149"/>
      <c r="ET48" s="149"/>
      <c r="EU48" s="149"/>
      <c r="EV48" s="149"/>
      <c r="EW48" s="149"/>
      <c r="EX48" s="149"/>
      <c r="EY48" s="149"/>
      <c r="EZ48" s="149"/>
      <c r="FA48" s="149"/>
      <c r="FB48" s="149"/>
      <c r="FC48" s="149"/>
      <c r="FD48" s="149"/>
      <c r="FE48" s="149"/>
      <c r="FF48" s="149"/>
      <c r="FG48" s="149"/>
      <c r="FH48" s="149"/>
      <c r="FI48" s="149"/>
      <c r="FJ48" s="149"/>
      <c r="FK48" s="149"/>
      <c r="FL48" s="149"/>
      <c r="FM48" s="149"/>
      <c r="FN48" s="149"/>
      <c r="FO48" s="149"/>
      <c r="FP48" s="149"/>
      <c r="FQ48" s="149"/>
      <c r="FR48" s="149"/>
      <c r="FS48" s="149"/>
      <c r="FT48" s="149"/>
      <c r="FU48" s="149"/>
      <c r="FV48" s="149"/>
      <c r="FW48" s="149"/>
      <c r="FX48" s="149"/>
      <c r="FY48" s="149"/>
      <c r="FZ48" s="149"/>
      <c r="GA48" s="149"/>
      <c r="GB48" s="149"/>
      <c r="GC48" s="149"/>
      <c r="GD48" s="149"/>
      <c r="GE48" s="149"/>
    </row>
    <row r="49" spans="1:187">
      <c r="A49" s="149"/>
      <c r="B49" s="149"/>
      <c r="C49" s="149"/>
      <c r="D49" s="149"/>
      <c r="E49" s="149"/>
      <c r="F49" s="149"/>
      <c r="G49" s="149"/>
      <c r="H49" s="149"/>
      <c r="I49" s="149"/>
      <c r="J49" s="149"/>
      <c r="K49" s="149"/>
      <c r="L49" s="149"/>
      <c r="M49" s="149"/>
      <c r="N49" s="151"/>
      <c r="O49" s="149"/>
      <c r="P49" s="149"/>
      <c r="Q49" s="149"/>
      <c r="R49" s="149"/>
      <c r="S49" s="149"/>
      <c r="T49" s="149"/>
      <c r="U49" s="149"/>
      <c r="V49" s="149"/>
      <c r="W49" s="149"/>
      <c r="X49" s="149"/>
      <c r="Y49" s="149"/>
      <c r="Z49" s="149"/>
      <c r="AA49" s="149"/>
      <c r="AB49" s="149"/>
      <c r="AC49" s="149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49"/>
      <c r="BA49" s="149"/>
      <c r="BB49" s="149"/>
      <c r="BC49" s="149"/>
      <c r="BD49" s="149"/>
      <c r="BE49" s="151"/>
      <c r="BF49" s="149"/>
      <c r="BG49" s="149"/>
      <c r="BH49" s="149"/>
      <c r="BI49" s="149"/>
      <c r="BJ49" s="149"/>
      <c r="BK49" s="149"/>
      <c r="BL49" s="149"/>
      <c r="BM49" s="149"/>
      <c r="BN49" s="149"/>
      <c r="BO49" s="149"/>
      <c r="BP49" s="149"/>
      <c r="BQ49" s="149"/>
      <c r="BR49" s="149"/>
      <c r="BS49" s="149"/>
      <c r="BT49" s="149"/>
      <c r="BU49" s="149"/>
      <c r="BV49" s="149"/>
      <c r="BW49" s="149"/>
      <c r="BX49" s="149"/>
      <c r="BY49" s="149"/>
      <c r="BZ49" s="149"/>
      <c r="CA49" s="149"/>
      <c r="CB49" s="149"/>
      <c r="CC49" s="149"/>
      <c r="CD49" s="149"/>
      <c r="CE49" s="149"/>
      <c r="CF49" s="149"/>
      <c r="CG49" s="149"/>
      <c r="CH49" s="149"/>
      <c r="CI49" s="149"/>
      <c r="CJ49" s="149"/>
      <c r="CK49" s="149"/>
      <c r="CL49" s="149"/>
      <c r="CM49" s="149"/>
      <c r="CN49" s="149"/>
      <c r="CO49" s="149"/>
      <c r="CP49" s="149"/>
      <c r="CQ49" s="149"/>
      <c r="CR49" s="149"/>
      <c r="CS49" s="149"/>
      <c r="CT49" s="149"/>
      <c r="CU49" s="149"/>
      <c r="CV49" s="149"/>
      <c r="CW49" s="149"/>
      <c r="CX49" s="149"/>
      <c r="CY49" s="149"/>
      <c r="CZ49" s="149"/>
      <c r="DA49" s="149"/>
      <c r="DB49" s="149"/>
      <c r="DC49" s="149"/>
      <c r="DD49" s="149"/>
      <c r="DE49" s="149"/>
      <c r="DF49" s="149"/>
      <c r="DG49" s="149"/>
      <c r="DH49" s="149"/>
      <c r="DI49" s="149"/>
      <c r="DJ49" s="149"/>
      <c r="DK49" s="149"/>
      <c r="DL49" s="149"/>
      <c r="DM49" s="149"/>
      <c r="DN49" s="149"/>
      <c r="DO49" s="149"/>
      <c r="DP49" s="149"/>
      <c r="DQ49" s="149"/>
      <c r="DR49" s="149"/>
      <c r="DS49" s="149"/>
      <c r="DT49" s="149"/>
      <c r="DU49" s="149"/>
      <c r="DV49" s="149"/>
      <c r="DW49" s="149"/>
      <c r="DX49" s="149"/>
      <c r="DY49" s="149"/>
      <c r="DZ49" s="149"/>
      <c r="EA49" s="149"/>
      <c r="EB49" s="149"/>
      <c r="EC49" s="149"/>
      <c r="ED49" s="149"/>
      <c r="EE49" s="149"/>
      <c r="EF49" s="149"/>
      <c r="EG49" s="149"/>
      <c r="EH49" s="149"/>
      <c r="EI49" s="149"/>
      <c r="EJ49" s="149"/>
      <c r="EK49" s="149"/>
      <c r="EL49" s="149"/>
      <c r="EM49" s="149"/>
      <c r="EN49" s="149"/>
      <c r="EO49" s="149"/>
      <c r="EP49" s="149"/>
      <c r="EQ49" s="149"/>
      <c r="ER49" s="149"/>
      <c r="ES49" s="149"/>
      <c r="ET49" s="149"/>
      <c r="EU49" s="149"/>
      <c r="EV49" s="149"/>
      <c r="EW49" s="149"/>
      <c r="EX49" s="149"/>
      <c r="EY49" s="149"/>
      <c r="EZ49" s="149"/>
      <c r="FA49" s="149"/>
      <c r="FB49" s="149"/>
      <c r="FC49" s="149"/>
      <c r="FD49" s="149"/>
      <c r="FE49" s="149"/>
      <c r="FF49" s="149"/>
      <c r="FG49" s="149"/>
      <c r="FH49" s="149"/>
      <c r="FI49" s="149"/>
      <c r="FJ49" s="149"/>
      <c r="FK49" s="149"/>
      <c r="FL49" s="149"/>
      <c r="FM49" s="149"/>
      <c r="FN49" s="149"/>
      <c r="FO49" s="149"/>
      <c r="FP49" s="149"/>
      <c r="FQ49" s="149"/>
      <c r="FR49" s="149"/>
      <c r="FS49" s="149"/>
      <c r="FT49" s="149"/>
      <c r="FU49" s="149"/>
      <c r="FV49" s="149"/>
      <c r="FW49" s="149"/>
      <c r="FX49" s="149"/>
      <c r="FY49" s="149"/>
      <c r="FZ49" s="149"/>
      <c r="GA49" s="149"/>
      <c r="GB49" s="149"/>
      <c r="GC49" s="149"/>
      <c r="GD49" s="149"/>
      <c r="GE49" s="149"/>
    </row>
    <row r="50" spans="1:187">
      <c r="A50" s="149"/>
      <c r="B50" s="149"/>
      <c r="C50" s="149"/>
      <c r="D50" s="149"/>
      <c r="E50" s="149"/>
      <c r="F50" s="149"/>
      <c r="G50" s="149"/>
      <c r="H50" s="149"/>
      <c r="I50" s="149"/>
      <c r="J50" s="149"/>
      <c r="K50" s="149"/>
      <c r="L50" s="149"/>
      <c r="M50" s="149"/>
      <c r="N50" s="151"/>
      <c r="O50" s="149"/>
      <c r="P50" s="149"/>
      <c r="Q50" s="149"/>
      <c r="R50" s="149"/>
      <c r="S50" s="149"/>
      <c r="T50" s="149"/>
      <c r="U50" s="149"/>
      <c r="V50" s="149"/>
      <c r="W50" s="149"/>
      <c r="X50" s="149"/>
      <c r="Y50" s="149"/>
      <c r="Z50" s="149"/>
      <c r="AA50" s="149"/>
      <c r="AB50" s="149"/>
      <c r="AC50" s="149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49"/>
      <c r="BA50" s="149"/>
      <c r="BB50" s="149"/>
      <c r="BC50" s="149"/>
      <c r="BD50" s="149"/>
      <c r="BE50" s="151"/>
      <c r="BF50" s="149"/>
      <c r="BG50" s="149"/>
      <c r="BH50" s="149"/>
      <c r="BI50" s="149"/>
      <c r="BJ50" s="149"/>
      <c r="BK50" s="149"/>
      <c r="BL50" s="149"/>
      <c r="BM50" s="149"/>
      <c r="BN50" s="149"/>
      <c r="BO50" s="149"/>
      <c r="BP50" s="149"/>
      <c r="BQ50" s="149"/>
      <c r="BR50" s="149"/>
      <c r="BS50" s="149"/>
      <c r="BT50" s="149"/>
      <c r="BU50" s="149"/>
      <c r="BV50" s="149"/>
      <c r="BW50" s="149"/>
      <c r="BX50" s="149"/>
      <c r="BY50" s="149"/>
      <c r="BZ50" s="149"/>
      <c r="CA50" s="149"/>
      <c r="CB50" s="149"/>
      <c r="CC50" s="149"/>
      <c r="CD50" s="149"/>
      <c r="CE50" s="149"/>
      <c r="CF50" s="149"/>
      <c r="CG50" s="149"/>
      <c r="CH50" s="149"/>
      <c r="CI50" s="149"/>
      <c r="CJ50" s="149"/>
      <c r="CK50" s="149"/>
      <c r="CL50" s="149"/>
      <c r="CM50" s="149"/>
      <c r="CN50" s="149"/>
      <c r="CO50" s="149"/>
      <c r="CP50" s="149"/>
      <c r="CQ50" s="149"/>
      <c r="CR50" s="149"/>
      <c r="CS50" s="149"/>
      <c r="CT50" s="149"/>
      <c r="CU50" s="149"/>
      <c r="CV50" s="149"/>
      <c r="CW50" s="149"/>
      <c r="CX50" s="149"/>
      <c r="CY50" s="149"/>
      <c r="CZ50" s="149"/>
      <c r="DA50" s="149"/>
      <c r="DB50" s="149"/>
      <c r="DC50" s="149"/>
      <c r="DD50" s="149"/>
      <c r="DE50" s="149"/>
      <c r="DF50" s="149"/>
      <c r="DG50" s="149"/>
      <c r="DH50" s="149"/>
      <c r="DI50" s="149"/>
      <c r="DJ50" s="149"/>
      <c r="DK50" s="149"/>
      <c r="DL50" s="149"/>
      <c r="DM50" s="149"/>
      <c r="DN50" s="149"/>
      <c r="DO50" s="149"/>
      <c r="DP50" s="149"/>
      <c r="DQ50" s="149"/>
      <c r="DR50" s="149"/>
      <c r="DS50" s="149"/>
      <c r="DT50" s="149"/>
      <c r="DU50" s="149"/>
      <c r="DV50" s="149"/>
      <c r="DW50" s="149"/>
      <c r="DX50" s="149"/>
      <c r="DY50" s="149"/>
      <c r="DZ50" s="149"/>
      <c r="EA50" s="149"/>
      <c r="EB50" s="149"/>
      <c r="EC50" s="149"/>
      <c r="ED50" s="149"/>
      <c r="EE50" s="149"/>
      <c r="EF50" s="149"/>
      <c r="EG50" s="149"/>
      <c r="EH50" s="149"/>
      <c r="EI50" s="149"/>
      <c r="EJ50" s="149"/>
      <c r="EK50" s="149"/>
      <c r="EL50" s="149"/>
      <c r="EM50" s="149"/>
      <c r="EN50" s="149"/>
      <c r="EO50" s="149"/>
      <c r="EP50" s="149"/>
      <c r="EQ50" s="149"/>
      <c r="ER50" s="149"/>
      <c r="ES50" s="149"/>
      <c r="ET50" s="149"/>
      <c r="EU50" s="149"/>
      <c r="EV50" s="149"/>
      <c r="EW50" s="149"/>
      <c r="EX50" s="149"/>
      <c r="EY50" s="149"/>
      <c r="EZ50" s="149"/>
      <c r="FA50" s="149"/>
      <c r="FB50" s="149"/>
      <c r="FC50" s="149"/>
      <c r="FD50" s="149"/>
      <c r="FE50" s="149"/>
      <c r="FF50" s="149"/>
      <c r="FG50" s="149"/>
      <c r="FH50" s="149"/>
      <c r="FI50" s="149"/>
      <c r="FJ50" s="149"/>
      <c r="FK50" s="149"/>
      <c r="FL50" s="149"/>
      <c r="FM50" s="149"/>
      <c r="FN50" s="149"/>
      <c r="FO50" s="149"/>
      <c r="FP50" s="149"/>
      <c r="FQ50" s="149"/>
      <c r="FR50" s="149"/>
      <c r="FS50" s="149"/>
      <c r="FT50" s="149"/>
      <c r="FU50" s="149"/>
      <c r="FV50" s="149"/>
      <c r="FW50" s="149"/>
      <c r="FX50" s="149"/>
      <c r="FY50" s="149"/>
      <c r="FZ50" s="149"/>
      <c r="GA50" s="149"/>
      <c r="GB50" s="149"/>
      <c r="GC50" s="149"/>
      <c r="GD50" s="149"/>
      <c r="GE50" s="149"/>
    </row>
    <row r="51" spans="1:187">
      <c r="A51" s="149"/>
      <c r="B51" s="149"/>
      <c r="C51" s="149"/>
      <c r="D51" s="149"/>
      <c r="E51" s="149"/>
      <c r="F51" s="149"/>
      <c r="G51" s="149"/>
      <c r="H51" s="149"/>
      <c r="I51" s="149"/>
      <c r="J51" s="149"/>
      <c r="K51" s="149"/>
      <c r="L51" s="149"/>
      <c r="M51" s="149"/>
      <c r="N51" s="151"/>
      <c r="O51" s="149"/>
      <c r="P51" s="149"/>
      <c r="Q51" s="149"/>
      <c r="R51" s="149"/>
      <c r="S51" s="149"/>
      <c r="T51" s="149"/>
      <c r="U51" s="149"/>
      <c r="V51" s="149"/>
      <c r="W51" s="149"/>
      <c r="X51" s="149"/>
      <c r="Y51" s="149"/>
      <c r="Z51" s="149"/>
      <c r="AA51" s="149"/>
      <c r="AB51" s="149"/>
      <c r="AC51" s="149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49"/>
      <c r="BA51" s="149"/>
      <c r="BB51" s="149"/>
      <c r="BC51" s="149"/>
      <c r="BD51" s="149"/>
      <c r="BE51" s="151"/>
      <c r="BF51" s="149"/>
      <c r="BG51" s="149"/>
      <c r="BH51" s="149"/>
      <c r="BI51" s="149"/>
      <c r="BJ51" s="149"/>
      <c r="BK51" s="149"/>
      <c r="BL51" s="149"/>
      <c r="BM51" s="149"/>
      <c r="BN51" s="149"/>
      <c r="BO51" s="149"/>
      <c r="BP51" s="149"/>
      <c r="BQ51" s="149"/>
      <c r="BR51" s="149"/>
      <c r="BS51" s="149"/>
      <c r="BT51" s="149"/>
      <c r="BU51" s="149"/>
      <c r="BV51" s="149"/>
      <c r="BW51" s="149"/>
      <c r="BX51" s="149"/>
      <c r="BY51" s="149"/>
      <c r="BZ51" s="149"/>
      <c r="CA51" s="149"/>
      <c r="CB51" s="149"/>
      <c r="CC51" s="149"/>
      <c r="CD51" s="149"/>
      <c r="CE51" s="149"/>
      <c r="CF51" s="149"/>
      <c r="CG51" s="149"/>
      <c r="CH51" s="149"/>
      <c r="CI51" s="149"/>
      <c r="CJ51" s="149"/>
      <c r="CK51" s="149"/>
      <c r="CL51" s="149"/>
      <c r="CM51" s="149"/>
      <c r="CN51" s="149"/>
      <c r="CO51" s="149"/>
      <c r="CP51" s="149"/>
      <c r="CQ51" s="149"/>
      <c r="CR51" s="149"/>
      <c r="CS51" s="149"/>
      <c r="CT51" s="149"/>
      <c r="CU51" s="149"/>
      <c r="CV51" s="149"/>
      <c r="CW51" s="149"/>
      <c r="CX51" s="149"/>
      <c r="CY51" s="149"/>
      <c r="CZ51" s="149"/>
      <c r="DA51" s="149"/>
      <c r="DB51" s="149"/>
      <c r="DC51" s="149"/>
      <c r="DD51" s="149"/>
      <c r="DE51" s="149"/>
      <c r="DF51" s="149"/>
      <c r="DG51" s="149"/>
      <c r="DH51" s="149"/>
      <c r="DI51" s="149"/>
      <c r="DJ51" s="149"/>
      <c r="DK51" s="149"/>
      <c r="DL51" s="149"/>
      <c r="DM51" s="149"/>
      <c r="DN51" s="149"/>
      <c r="DO51" s="149"/>
      <c r="DP51" s="149"/>
      <c r="DQ51" s="149"/>
      <c r="DR51" s="149"/>
      <c r="DS51" s="149"/>
      <c r="DT51" s="149"/>
      <c r="DU51" s="149"/>
      <c r="DV51" s="149"/>
      <c r="DW51" s="149"/>
      <c r="DX51" s="149"/>
      <c r="DY51" s="149"/>
      <c r="DZ51" s="149"/>
      <c r="EA51" s="149"/>
      <c r="EB51" s="149"/>
      <c r="EC51" s="149"/>
      <c r="ED51" s="149"/>
      <c r="EE51" s="149"/>
      <c r="EF51" s="149"/>
      <c r="EG51" s="149"/>
      <c r="EH51" s="149"/>
      <c r="EI51" s="149"/>
      <c r="EJ51" s="149"/>
      <c r="EK51" s="149"/>
      <c r="EL51" s="149"/>
      <c r="EM51" s="149"/>
      <c r="EN51" s="149"/>
      <c r="EO51" s="149"/>
      <c r="EP51" s="149"/>
      <c r="EQ51" s="149"/>
      <c r="ER51" s="149"/>
      <c r="ES51" s="149"/>
      <c r="ET51" s="149"/>
      <c r="EU51" s="149"/>
      <c r="EV51" s="149"/>
      <c r="EW51" s="149"/>
      <c r="EX51" s="149"/>
      <c r="EY51" s="149"/>
      <c r="EZ51" s="149"/>
      <c r="FA51" s="149"/>
      <c r="FB51" s="149"/>
      <c r="FC51" s="149"/>
      <c r="FD51" s="149"/>
      <c r="FE51" s="149"/>
      <c r="FF51" s="149"/>
      <c r="FG51" s="149"/>
      <c r="FH51" s="149"/>
      <c r="FI51" s="149"/>
      <c r="FJ51" s="149"/>
      <c r="FK51" s="149"/>
      <c r="FL51" s="149"/>
      <c r="FM51" s="149"/>
      <c r="FN51" s="149"/>
      <c r="FO51" s="149"/>
      <c r="FP51" s="149"/>
      <c r="FQ51" s="149"/>
      <c r="FR51" s="149"/>
      <c r="FS51" s="149"/>
      <c r="FT51" s="149"/>
      <c r="FU51" s="149"/>
      <c r="FV51" s="149"/>
      <c r="FW51" s="149"/>
      <c r="FX51" s="149"/>
      <c r="FY51" s="149"/>
      <c r="FZ51" s="149"/>
      <c r="GA51" s="149"/>
      <c r="GB51" s="149"/>
      <c r="GC51" s="149"/>
      <c r="GD51" s="149"/>
      <c r="GE51" s="149"/>
    </row>
    <row r="52" spans="1:187">
      <c r="A52" s="149"/>
      <c r="B52" s="149"/>
      <c r="C52" s="149"/>
      <c r="D52" s="149"/>
      <c r="E52" s="149"/>
      <c r="F52" s="149"/>
      <c r="G52" s="149"/>
      <c r="H52" s="149"/>
      <c r="I52" s="149"/>
      <c r="J52" s="149"/>
      <c r="K52" s="149"/>
      <c r="L52" s="149"/>
      <c r="M52" s="149"/>
      <c r="N52" s="151"/>
      <c r="O52" s="149"/>
      <c r="P52" s="149"/>
      <c r="Q52" s="149"/>
      <c r="R52" s="149"/>
      <c r="S52" s="149"/>
      <c r="T52" s="149"/>
      <c r="U52" s="149"/>
      <c r="V52" s="149"/>
      <c r="W52" s="149"/>
      <c r="X52" s="149"/>
      <c r="Y52" s="149"/>
      <c r="Z52" s="149"/>
      <c r="AA52" s="149"/>
      <c r="AB52" s="149"/>
      <c r="AC52" s="149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49"/>
      <c r="BA52" s="149"/>
      <c r="BB52" s="149"/>
      <c r="BC52" s="149"/>
      <c r="BD52" s="149"/>
      <c r="BE52" s="151"/>
      <c r="BF52" s="149"/>
      <c r="BG52" s="149"/>
      <c r="BH52" s="149"/>
      <c r="BI52" s="149"/>
      <c r="BJ52" s="149"/>
      <c r="BK52" s="149"/>
      <c r="BL52" s="149"/>
      <c r="BM52" s="149"/>
      <c r="BN52" s="149"/>
      <c r="BO52" s="149"/>
      <c r="BP52" s="149"/>
      <c r="BQ52" s="149"/>
      <c r="BR52" s="149"/>
      <c r="BS52" s="149"/>
      <c r="BT52" s="149"/>
      <c r="BU52" s="149"/>
      <c r="BV52" s="149"/>
      <c r="BW52" s="149"/>
      <c r="BX52" s="149"/>
      <c r="BY52" s="149"/>
      <c r="BZ52" s="149"/>
      <c r="CA52" s="149"/>
      <c r="CB52" s="149"/>
      <c r="CC52" s="149"/>
      <c r="CD52" s="149"/>
      <c r="CE52" s="149"/>
      <c r="CF52" s="149"/>
      <c r="CG52" s="149"/>
      <c r="CH52" s="149"/>
      <c r="CI52" s="149"/>
      <c r="CJ52" s="149"/>
      <c r="CK52" s="149"/>
      <c r="CL52" s="149"/>
      <c r="CM52" s="149"/>
      <c r="CN52" s="149"/>
      <c r="CO52" s="149"/>
      <c r="CP52" s="149"/>
      <c r="CQ52" s="149"/>
      <c r="CR52" s="149"/>
      <c r="CS52" s="149"/>
      <c r="CT52" s="149"/>
      <c r="CU52" s="149"/>
      <c r="CV52" s="149"/>
      <c r="CW52" s="149"/>
      <c r="CX52" s="149"/>
      <c r="CY52" s="149"/>
      <c r="CZ52" s="149"/>
      <c r="DA52" s="149"/>
      <c r="DB52" s="149"/>
      <c r="DC52" s="149"/>
      <c r="DD52" s="149"/>
      <c r="DE52" s="149"/>
      <c r="DF52" s="149"/>
      <c r="DG52" s="149"/>
      <c r="DH52" s="149"/>
      <c r="DI52" s="149"/>
      <c r="DJ52" s="149"/>
      <c r="DK52" s="149"/>
      <c r="DL52" s="149"/>
      <c r="DM52" s="149"/>
      <c r="DN52" s="149"/>
      <c r="DO52" s="149"/>
      <c r="DP52" s="149"/>
      <c r="DQ52" s="149"/>
      <c r="DR52" s="149"/>
      <c r="DS52" s="149"/>
      <c r="DT52" s="149"/>
      <c r="DU52" s="149"/>
      <c r="DV52" s="149"/>
      <c r="DW52" s="149"/>
      <c r="DX52" s="149"/>
      <c r="DY52" s="149"/>
      <c r="DZ52" s="149"/>
      <c r="EA52" s="149"/>
      <c r="EB52" s="149"/>
      <c r="EC52" s="149"/>
      <c r="ED52" s="149"/>
      <c r="EE52" s="149"/>
      <c r="EF52" s="149"/>
      <c r="EG52" s="149"/>
      <c r="EH52" s="149"/>
      <c r="EI52" s="149"/>
      <c r="EJ52" s="149"/>
      <c r="EK52" s="149"/>
      <c r="EL52" s="149"/>
      <c r="EM52" s="149"/>
      <c r="EN52" s="149"/>
      <c r="EO52" s="149"/>
      <c r="EP52" s="149"/>
      <c r="EQ52" s="149"/>
      <c r="ER52" s="149"/>
      <c r="ES52" s="149"/>
      <c r="ET52" s="149"/>
      <c r="EU52" s="149"/>
      <c r="EV52" s="149"/>
      <c r="EW52" s="149"/>
      <c r="EX52" s="149"/>
      <c r="EY52" s="149"/>
      <c r="EZ52" s="149"/>
      <c r="FA52" s="149"/>
      <c r="FB52" s="149"/>
      <c r="FC52" s="149"/>
      <c r="FD52" s="149"/>
      <c r="FE52" s="149"/>
      <c r="FF52" s="149"/>
      <c r="FG52" s="149"/>
      <c r="FH52" s="149"/>
      <c r="FI52" s="149"/>
      <c r="FJ52" s="149"/>
      <c r="FK52" s="149"/>
      <c r="FL52" s="149"/>
      <c r="FM52" s="149"/>
      <c r="FN52" s="149"/>
      <c r="FO52" s="149"/>
      <c r="FP52" s="149"/>
      <c r="FQ52" s="149"/>
      <c r="FR52" s="149"/>
      <c r="FS52" s="149"/>
      <c r="FT52" s="149"/>
      <c r="FU52" s="149"/>
      <c r="FV52" s="149"/>
      <c r="FW52" s="149"/>
      <c r="FX52" s="149"/>
      <c r="FY52" s="149"/>
      <c r="FZ52" s="149"/>
      <c r="GA52" s="149"/>
      <c r="GB52" s="149"/>
      <c r="GC52" s="149"/>
      <c r="GD52" s="149"/>
      <c r="GE52" s="149"/>
    </row>
    <row r="53" spans="1:187">
      <c r="A53" s="149"/>
      <c r="B53" s="149"/>
      <c r="C53" s="149"/>
      <c r="D53" s="149"/>
      <c r="E53" s="149"/>
      <c r="F53" s="149"/>
      <c r="G53" s="149"/>
      <c r="H53" s="149"/>
      <c r="I53" s="149"/>
      <c r="J53" s="149"/>
      <c r="K53" s="149"/>
      <c r="L53" s="149"/>
      <c r="M53" s="149"/>
      <c r="N53" s="151"/>
      <c r="O53" s="149"/>
      <c r="P53" s="149"/>
      <c r="Q53" s="149"/>
      <c r="R53" s="149"/>
      <c r="S53" s="149"/>
      <c r="T53" s="149"/>
      <c r="U53" s="149"/>
      <c r="V53" s="149"/>
      <c r="W53" s="149"/>
      <c r="X53" s="149"/>
      <c r="Y53" s="149"/>
      <c r="Z53" s="149"/>
      <c r="AA53" s="149"/>
      <c r="AB53" s="149"/>
      <c r="AC53" s="149"/>
      <c r="AD53" s="149"/>
      <c r="AE53" s="149"/>
      <c r="AF53" s="149"/>
      <c r="AG53" s="149"/>
      <c r="AH53" s="149"/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49"/>
      <c r="BA53" s="149"/>
      <c r="BB53" s="149"/>
      <c r="BC53" s="149"/>
      <c r="BD53" s="149"/>
      <c r="BE53" s="151"/>
      <c r="BF53" s="149"/>
      <c r="BG53" s="149"/>
      <c r="BH53" s="149"/>
      <c r="BI53" s="149"/>
      <c r="BJ53" s="149"/>
      <c r="BK53" s="149"/>
      <c r="BL53" s="149"/>
      <c r="BM53" s="149"/>
      <c r="BN53" s="149"/>
      <c r="BO53" s="149"/>
      <c r="BP53" s="149"/>
      <c r="BQ53" s="149"/>
      <c r="BR53" s="149"/>
      <c r="BS53" s="149"/>
      <c r="BT53" s="149"/>
      <c r="BU53" s="149"/>
      <c r="BV53" s="149"/>
      <c r="BW53" s="149"/>
      <c r="BX53" s="149"/>
      <c r="BY53" s="149"/>
      <c r="BZ53" s="149"/>
      <c r="CA53" s="149"/>
      <c r="CB53" s="149"/>
      <c r="CC53" s="149"/>
      <c r="CD53" s="149"/>
      <c r="CE53" s="149"/>
      <c r="CF53" s="149"/>
      <c r="CG53" s="149"/>
      <c r="CH53" s="149"/>
      <c r="CI53" s="149"/>
      <c r="CJ53" s="149"/>
      <c r="CK53" s="149"/>
      <c r="CL53" s="149"/>
      <c r="CM53" s="149"/>
      <c r="CN53" s="149"/>
      <c r="CO53" s="149"/>
      <c r="CP53" s="149"/>
      <c r="CQ53" s="149"/>
      <c r="CR53" s="149"/>
      <c r="CS53" s="149"/>
      <c r="CT53" s="149"/>
      <c r="CU53" s="149"/>
      <c r="CV53" s="149"/>
      <c r="CW53" s="149"/>
      <c r="CX53" s="149"/>
      <c r="CY53" s="149"/>
      <c r="CZ53" s="149"/>
      <c r="DA53" s="149"/>
      <c r="DB53" s="149"/>
      <c r="DC53" s="149"/>
      <c r="DD53" s="149"/>
      <c r="DE53" s="149"/>
      <c r="DF53" s="149"/>
      <c r="DG53" s="149"/>
      <c r="DH53" s="149"/>
      <c r="DI53" s="149"/>
      <c r="DJ53" s="149"/>
      <c r="DK53" s="149"/>
      <c r="DL53" s="149"/>
      <c r="DM53" s="149"/>
      <c r="DN53" s="149"/>
      <c r="DO53" s="149"/>
      <c r="DP53" s="149"/>
      <c r="DQ53" s="149"/>
      <c r="DR53" s="149"/>
      <c r="DS53" s="149"/>
      <c r="DT53" s="149"/>
      <c r="DU53" s="149"/>
      <c r="DV53" s="149"/>
      <c r="DW53" s="149"/>
      <c r="DX53" s="149"/>
      <c r="DY53" s="149"/>
      <c r="DZ53" s="149"/>
      <c r="EA53" s="149"/>
      <c r="EB53" s="149"/>
      <c r="EC53" s="149"/>
      <c r="ED53" s="149"/>
      <c r="EE53" s="149"/>
      <c r="EF53" s="149"/>
      <c r="EG53" s="149"/>
      <c r="EH53" s="149"/>
      <c r="EI53" s="149"/>
      <c r="EJ53" s="149"/>
      <c r="EK53" s="149"/>
      <c r="EL53" s="149"/>
      <c r="EM53" s="149"/>
      <c r="EN53" s="149"/>
      <c r="EO53" s="149"/>
      <c r="EP53" s="149"/>
      <c r="EQ53" s="149"/>
      <c r="ER53" s="149"/>
      <c r="ES53" s="149"/>
      <c r="ET53" s="149"/>
      <c r="EU53" s="149"/>
      <c r="EV53" s="149"/>
      <c r="EW53" s="149"/>
      <c r="EX53" s="149"/>
      <c r="EY53" s="149"/>
      <c r="EZ53" s="149"/>
      <c r="FA53" s="149"/>
      <c r="FB53" s="149"/>
      <c r="FC53" s="149"/>
      <c r="FD53" s="149"/>
      <c r="FE53" s="149"/>
      <c r="FF53" s="149"/>
      <c r="FG53" s="149"/>
      <c r="FH53" s="149"/>
      <c r="FI53" s="149"/>
      <c r="FJ53" s="149"/>
      <c r="FK53" s="149"/>
      <c r="FL53" s="149"/>
      <c r="FM53" s="149"/>
      <c r="FN53" s="149"/>
      <c r="FO53" s="149"/>
      <c r="FP53" s="149"/>
      <c r="FQ53" s="149"/>
      <c r="FR53" s="149"/>
      <c r="FS53" s="149"/>
      <c r="FT53" s="149"/>
      <c r="FU53" s="149"/>
      <c r="FV53" s="149"/>
      <c r="FW53" s="149"/>
      <c r="FX53" s="149"/>
      <c r="FY53" s="149"/>
      <c r="FZ53" s="149"/>
      <c r="GA53" s="149"/>
      <c r="GB53" s="149"/>
      <c r="GC53" s="149"/>
      <c r="GD53" s="149"/>
      <c r="GE53" s="149"/>
    </row>
    <row r="54" spans="1:187">
      <c r="A54" s="149"/>
      <c r="B54" s="149"/>
      <c r="C54" s="149"/>
      <c r="D54" s="149"/>
      <c r="E54" s="149"/>
      <c r="F54" s="149"/>
      <c r="G54" s="149"/>
      <c r="H54" s="149"/>
      <c r="I54" s="149"/>
      <c r="J54" s="149"/>
      <c r="K54" s="149"/>
      <c r="L54" s="149"/>
      <c r="M54" s="149"/>
      <c r="N54" s="151"/>
      <c r="O54" s="149"/>
      <c r="P54" s="149"/>
      <c r="Q54" s="149"/>
      <c r="R54" s="149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49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49"/>
      <c r="BA54" s="149"/>
      <c r="BB54" s="149"/>
      <c r="BC54" s="149"/>
      <c r="BD54" s="149"/>
      <c r="BE54" s="151"/>
      <c r="BF54" s="149"/>
      <c r="BG54" s="149"/>
      <c r="BH54" s="149"/>
      <c r="BI54" s="149"/>
      <c r="BJ54" s="149"/>
      <c r="BK54" s="149"/>
      <c r="BL54" s="149"/>
      <c r="BM54" s="149"/>
      <c r="BN54" s="149"/>
      <c r="BO54" s="149"/>
      <c r="BP54" s="149"/>
      <c r="BQ54" s="149"/>
      <c r="BR54" s="149"/>
      <c r="BS54" s="149"/>
      <c r="BT54" s="149"/>
      <c r="BU54" s="149"/>
      <c r="BV54" s="149"/>
      <c r="BW54" s="149"/>
      <c r="BX54" s="149"/>
      <c r="BY54" s="149"/>
      <c r="BZ54" s="149"/>
      <c r="CA54" s="149"/>
      <c r="CB54" s="149"/>
      <c r="CC54" s="149"/>
      <c r="CD54" s="149"/>
      <c r="CE54" s="149"/>
      <c r="CF54" s="149"/>
      <c r="CG54" s="149"/>
      <c r="CH54" s="149"/>
      <c r="CI54" s="149"/>
      <c r="CJ54" s="149"/>
      <c r="CK54" s="149"/>
      <c r="CL54" s="149"/>
      <c r="CM54" s="149"/>
      <c r="CN54" s="149"/>
      <c r="CO54" s="149"/>
      <c r="CP54" s="149"/>
      <c r="CQ54" s="149"/>
      <c r="CR54" s="149"/>
      <c r="CS54" s="149"/>
      <c r="CT54" s="149"/>
      <c r="CU54" s="149"/>
      <c r="CV54" s="149"/>
      <c r="CW54" s="149"/>
      <c r="CX54" s="149"/>
      <c r="CY54" s="149"/>
      <c r="CZ54" s="149"/>
      <c r="DA54" s="149"/>
      <c r="DB54" s="149"/>
      <c r="DC54" s="149"/>
      <c r="DD54" s="149"/>
      <c r="DE54" s="149"/>
      <c r="DF54" s="149"/>
      <c r="DG54" s="149"/>
      <c r="DH54" s="149"/>
      <c r="DI54" s="149"/>
      <c r="DJ54" s="149"/>
      <c r="DK54" s="149"/>
      <c r="DL54" s="149"/>
      <c r="DM54" s="149"/>
      <c r="DN54" s="149"/>
      <c r="DO54" s="149"/>
      <c r="DP54" s="149"/>
      <c r="DQ54" s="149"/>
      <c r="DR54" s="149"/>
      <c r="DS54" s="149"/>
      <c r="DT54" s="149"/>
      <c r="DU54" s="149"/>
      <c r="DV54" s="149"/>
      <c r="DW54" s="149"/>
      <c r="DX54" s="149"/>
      <c r="DY54" s="149"/>
      <c r="DZ54" s="149"/>
      <c r="EA54" s="149"/>
      <c r="EB54" s="149"/>
      <c r="EC54" s="149"/>
      <c r="ED54" s="149"/>
      <c r="EE54" s="149"/>
      <c r="EF54" s="149"/>
      <c r="EG54" s="149"/>
      <c r="EH54" s="149"/>
      <c r="EI54" s="149"/>
      <c r="EJ54" s="149"/>
      <c r="EK54" s="149"/>
      <c r="EL54" s="149"/>
      <c r="EM54" s="149"/>
      <c r="EN54" s="149"/>
      <c r="EO54" s="149"/>
      <c r="EP54" s="149"/>
      <c r="EQ54" s="149"/>
      <c r="ER54" s="149"/>
      <c r="ES54" s="149"/>
      <c r="ET54" s="149"/>
      <c r="EU54" s="149"/>
      <c r="EV54" s="149"/>
      <c r="EW54" s="149"/>
      <c r="EX54" s="149"/>
      <c r="EY54" s="149"/>
      <c r="EZ54" s="149"/>
      <c r="FA54" s="149"/>
      <c r="FB54" s="149"/>
      <c r="FC54" s="149"/>
      <c r="FD54" s="149"/>
      <c r="FE54" s="149"/>
      <c r="FF54" s="149"/>
      <c r="FG54" s="149"/>
      <c r="FH54" s="149"/>
      <c r="FI54" s="149"/>
      <c r="FJ54" s="149"/>
      <c r="FK54" s="149"/>
      <c r="FL54" s="149"/>
      <c r="FM54" s="149"/>
      <c r="FN54" s="149"/>
      <c r="FO54" s="149"/>
      <c r="FP54" s="149"/>
      <c r="FQ54" s="149"/>
      <c r="FR54" s="149"/>
      <c r="FS54" s="149"/>
      <c r="FT54" s="149"/>
      <c r="FU54" s="149"/>
      <c r="FV54" s="149"/>
      <c r="FW54" s="149"/>
      <c r="FX54" s="149"/>
      <c r="FY54" s="149"/>
      <c r="FZ54" s="149"/>
      <c r="GA54" s="149"/>
      <c r="GB54" s="149"/>
      <c r="GC54" s="149"/>
      <c r="GD54" s="149"/>
      <c r="GE54" s="149"/>
    </row>
    <row r="55" spans="1:187">
      <c r="A55" s="149"/>
      <c r="B55" s="149"/>
      <c r="C55" s="149"/>
      <c r="D55" s="149"/>
      <c r="E55" s="149"/>
      <c r="F55" s="149"/>
      <c r="G55" s="149"/>
      <c r="H55" s="149"/>
      <c r="I55" s="149"/>
      <c r="J55" s="149"/>
      <c r="K55" s="149"/>
      <c r="L55" s="149"/>
      <c r="M55" s="149"/>
      <c r="N55" s="151"/>
      <c r="O55" s="149"/>
      <c r="P55" s="149"/>
      <c r="Q55" s="149"/>
      <c r="R55" s="149"/>
      <c r="S55" s="149"/>
      <c r="T55" s="149"/>
      <c r="U55" s="149"/>
      <c r="V55" s="149"/>
      <c r="W55" s="149"/>
      <c r="X55" s="149"/>
      <c r="Y55" s="149"/>
      <c r="Z55" s="149"/>
      <c r="AA55" s="149"/>
      <c r="AB55" s="149"/>
      <c r="AC55" s="149"/>
      <c r="AD55" s="149"/>
      <c r="AE55" s="149"/>
      <c r="AF55" s="149"/>
      <c r="AG55" s="149"/>
      <c r="AH55" s="149"/>
      <c r="AI55" s="149"/>
      <c r="AJ55" s="149"/>
      <c r="AK55" s="149"/>
      <c r="AL55" s="149"/>
      <c r="AM55" s="149"/>
      <c r="AN55" s="149"/>
      <c r="AO55" s="149"/>
      <c r="AP55" s="149"/>
      <c r="AQ55" s="149"/>
      <c r="AR55" s="149"/>
      <c r="AS55" s="149"/>
      <c r="AT55" s="149"/>
      <c r="AU55" s="149"/>
      <c r="AV55" s="149"/>
      <c r="AW55" s="149"/>
      <c r="AX55" s="149"/>
      <c r="AY55" s="149"/>
      <c r="AZ55" s="149"/>
      <c r="BA55" s="149"/>
      <c r="BB55" s="149"/>
      <c r="BC55" s="149"/>
      <c r="BD55" s="149"/>
      <c r="BE55" s="151"/>
      <c r="BF55" s="149"/>
      <c r="BG55" s="149"/>
      <c r="BH55" s="149"/>
      <c r="BI55" s="149"/>
      <c r="BJ55" s="149"/>
      <c r="BK55" s="149"/>
      <c r="BL55" s="149"/>
      <c r="BM55" s="149"/>
      <c r="BN55" s="149"/>
      <c r="BO55" s="149"/>
      <c r="BP55" s="149"/>
      <c r="BQ55" s="149"/>
      <c r="BR55" s="149"/>
      <c r="BS55" s="149"/>
      <c r="BT55" s="149"/>
      <c r="BU55" s="149"/>
      <c r="BV55" s="149"/>
      <c r="BW55" s="149"/>
      <c r="BX55" s="149"/>
      <c r="BY55" s="149"/>
      <c r="BZ55" s="149"/>
      <c r="CA55" s="149"/>
      <c r="CB55" s="149"/>
      <c r="CC55" s="149"/>
      <c r="CD55" s="149"/>
      <c r="CE55" s="149"/>
      <c r="CF55" s="149"/>
      <c r="CG55" s="149"/>
      <c r="CH55" s="149"/>
      <c r="CI55" s="149"/>
      <c r="CJ55" s="149"/>
      <c r="CK55" s="149"/>
      <c r="CL55" s="149"/>
      <c r="CM55" s="149"/>
      <c r="CN55" s="149"/>
      <c r="CO55" s="149"/>
      <c r="CP55" s="149"/>
      <c r="CQ55" s="149"/>
      <c r="CR55" s="149"/>
      <c r="CS55" s="149"/>
      <c r="CT55" s="149"/>
      <c r="CU55" s="149"/>
      <c r="CV55" s="149"/>
      <c r="CW55" s="149"/>
      <c r="CX55" s="149"/>
      <c r="CY55" s="149"/>
      <c r="CZ55" s="149"/>
      <c r="DA55" s="149"/>
      <c r="DB55" s="149"/>
      <c r="DC55" s="149"/>
      <c r="DD55" s="149"/>
      <c r="DE55" s="149"/>
      <c r="DF55" s="149"/>
      <c r="DG55" s="149"/>
      <c r="DH55" s="149"/>
      <c r="DI55" s="149"/>
      <c r="DJ55" s="149"/>
      <c r="DK55" s="149"/>
      <c r="DL55" s="149"/>
      <c r="DM55" s="149"/>
      <c r="DN55" s="149"/>
      <c r="DO55" s="149"/>
      <c r="DP55" s="149"/>
      <c r="DQ55" s="149"/>
      <c r="DR55" s="149"/>
      <c r="DS55" s="149"/>
      <c r="DT55" s="149"/>
      <c r="DU55" s="149"/>
      <c r="DV55" s="149"/>
      <c r="DW55" s="149"/>
      <c r="DX55" s="149"/>
      <c r="DY55" s="149"/>
      <c r="DZ55" s="149"/>
      <c r="EA55" s="149"/>
      <c r="EB55" s="149"/>
      <c r="EC55" s="149"/>
      <c r="ED55" s="149"/>
      <c r="EE55" s="149"/>
      <c r="EF55" s="149"/>
      <c r="EG55" s="149"/>
      <c r="EH55" s="149"/>
      <c r="EI55" s="149"/>
      <c r="EJ55" s="149"/>
      <c r="EK55" s="149"/>
      <c r="EL55" s="149"/>
      <c r="EM55" s="149"/>
      <c r="EN55" s="149"/>
      <c r="EO55" s="149"/>
      <c r="EP55" s="149"/>
      <c r="EQ55" s="149"/>
      <c r="ER55" s="149"/>
      <c r="ES55" s="149"/>
      <c r="ET55" s="149"/>
      <c r="EU55" s="149"/>
      <c r="EV55" s="149"/>
      <c r="EW55" s="149"/>
      <c r="EX55" s="149"/>
      <c r="EY55" s="149"/>
      <c r="EZ55" s="149"/>
      <c r="FA55" s="149"/>
      <c r="FB55" s="149"/>
      <c r="FC55" s="149"/>
      <c r="FD55" s="149"/>
      <c r="FE55" s="149"/>
      <c r="FF55" s="149"/>
      <c r="FG55" s="149"/>
      <c r="FH55" s="149"/>
      <c r="FI55" s="149"/>
      <c r="FJ55" s="149"/>
      <c r="FK55" s="149"/>
      <c r="FL55" s="149"/>
      <c r="FM55" s="149"/>
      <c r="FN55" s="149"/>
      <c r="FO55" s="149"/>
      <c r="FP55" s="149"/>
      <c r="FQ55" s="149"/>
      <c r="FR55" s="149"/>
      <c r="FS55" s="149"/>
      <c r="FT55" s="149"/>
      <c r="FU55" s="149"/>
      <c r="FV55" s="149"/>
      <c r="FW55" s="149"/>
      <c r="FX55" s="149"/>
      <c r="FY55" s="149"/>
      <c r="FZ55" s="149"/>
      <c r="GA55" s="149"/>
      <c r="GB55" s="149"/>
      <c r="GC55" s="149"/>
      <c r="GD55" s="149"/>
      <c r="GE55" s="149"/>
    </row>
    <row r="56" spans="1:187">
      <c r="A56" s="149"/>
      <c r="B56" s="149"/>
      <c r="C56" s="149"/>
      <c r="D56" s="149"/>
      <c r="E56" s="149"/>
      <c r="F56" s="149"/>
      <c r="G56" s="149"/>
      <c r="H56" s="149"/>
      <c r="I56" s="149"/>
      <c r="J56" s="149"/>
      <c r="K56" s="149"/>
      <c r="L56" s="149"/>
      <c r="M56" s="149"/>
      <c r="N56" s="151"/>
      <c r="O56" s="149"/>
      <c r="P56" s="149"/>
      <c r="Q56" s="149"/>
      <c r="R56" s="149"/>
      <c r="S56" s="149"/>
      <c r="T56" s="149"/>
      <c r="U56" s="149"/>
      <c r="V56" s="149"/>
      <c r="W56" s="149"/>
      <c r="X56" s="149"/>
      <c r="Y56" s="149"/>
      <c r="Z56" s="149"/>
      <c r="AA56" s="149"/>
      <c r="AB56" s="149"/>
      <c r="AC56" s="149"/>
      <c r="AD56" s="149"/>
      <c r="AE56" s="149"/>
      <c r="AF56" s="149"/>
      <c r="AG56" s="149"/>
      <c r="AH56" s="149"/>
      <c r="AI56" s="149"/>
      <c r="AJ56" s="149"/>
      <c r="AK56" s="149"/>
      <c r="AL56" s="149"/>
      <c r="AM56" s="149"/>
      <c r="AN56" s="149"/>
      <c r="AO56" s="149"/>
      <c r="AP56" s="149"/>
      <c r="AQ56" s="149"/>
      <c r="AR56" s="149"/>
      <c r="AS56" s="149"/>
      <c r="AT56" s="149"/>
      <c r="AU56" s="149"/>
      <c r="AV56" s="149"/>
      <c r="AW56" s="149"/>
      <c r="AX56" s="149"/>
      <c r="AY56" s="149"/>
      <c r="AZ56" s="149"/>
      <c r="BA56" s="149"/>
      <c r="BB56" s="149"/>
      <c r="BC56" s="149"/>
      <c r="BD56" s="149"/>
      <c r="BE56" s="151"/>
      <c r="BF56" s="149"/>
      <c r="BG56" s="149"/>
      <c r="BH56" s="149"/>
      <c r="BI56" s="149"/>
      <c r="BJ56" s="149"/>
      <c r="BK56" s="149"/>
      <c r="BL56" s="149"/>
      <c r="BM56" s="149"/>
      <c r="BN56" s="149"/>
      <c r="BO56" s="149"/>
      <c r="BP56" s="149"/>
      <c r="BQ56" s="149"/>
      <c r="BR56" s="149"/>
      <c r="BS56" s="149"/>
      <c r="BT56" s="149"/>
      <c r="BU56" s="149"/>
      <c r="BV56" s="149"/>
      <c r="BW56" s="149"/>
      <c r="BX56" s="149"/>
      <c r="BY56" s="149"/>
      <c r="BZ56" s="149"/>
      <c r="CA56" s="149"/>
      <c r="CB56" s="149"/>
      <c r="CC56" s="149"/>
      <c r="CD56" s="149"/>
      <c r="CE56" s="149"/>
      <c r="CF56" s="149"/>
      <c r="CG56" s="149"/>
      <c r="CH56" s="149"/>
      <c r="CI56" s="149"/>
      <c r="CJ56" s="149"/>
      <c r="CK56" s="149"/>
      <c r="CL56" s="149"/>
      <c r="CM56" s="149"/>
      <c r="CN56" s="149"/>
      <c r="CO56" s="149"/>
      <c r="CP56" s="149"/>
      <c r="CQ56" s="149"/>
      <c r="CR56" s="149"/>
      <c r="CS56" s="149"/>
      <c r="CT56" s="149"/>
      <c r="CU56" s="149"/>
      <c r="CV56" s="149"/>
      <c r="CW56" s="149"/>
      <c r="CX56" s="149"/>
      <c r="CY56" s="149"/>
      <c r="CZ56" s="149"/>
      <c r="DA56" s="149"/>
      <c r="DB56" s="149"/>
      <c r="DC56" s="149"/>
      <c r="DD56" s="149"/>
      <c r="DE56" s="149"/>
      <c r="DF56" s="149"/>
      <c r="DG56" s="149"/>
      <c r="DH56" s="149"/>
      <c r="DI56" s="149"/>
      <c r="DJ56" s="149"/>
      <c r="DK56" s="149"/>
      <c r="DL56" s="149"/>
      <c r="DM56" s="149"/>
      <c r="DN56" s="149"/>
      <c r="DO56" s="149"/>
      <c r="DP56" s="149"/>
      <c r="DQ56" s="149"/>
      <c r="DR56" s="149"/>
      <c r="DS56" s="149"/>
      <c r="DT56" s="149"/>
      <c r="DU56" s="149"/>
      <c r="DV56" s="149"/>
      <c r="DW56" s="149"/>
      <c r="DX56" s="149"/>
      <c r="DY56" s="149"/>
      <c r="DZ56" s="149"/>
      <c r="EA56" s="149"/>
      <c r="EB56" s="149"/>
      <c r="EC56" s="149"/>
      <c r="ED56" s="149"/>
      <c r="EE56" s="149"/>
      <c r="EF56" s="149"/>
      <c r="EG56" s="149"/>
      <c r="EH56" s="149"/>
      <c r="EI56" s="149"/>
      <c r="EJ56" s="149"/>
      <c r="EK56" s="149"/>
      <c r="EL56" s="149"/>
      <c r="EM56" s="149"/>
      <c r="EN56" s="149"/>
      <c r="EO56" s="149"/>
      <c r="EP56" s="149"/>
      <c r="EQ56" s="149"/>
      <c r="ER56" s="149"/>
      <c r="ES56" s="149"/>
      <c r="ET56" s="149"/>
      <c r="EU56" s="149"/>
      <c r="EV56" s="149"/>
      <c r="EW56" s="149"/>
      <c r="EX56" s="149"/>
      <c r="EY56" s="149"/>
      <c r="EZ56" s="149"/>
      <c r="FA56" s="149"/>
      <c r="FB56" s="149"/>
      <c r="FC56" s="149"/>
      <c r="FD56" s="149"/>
      <c r="FE56" s="149"/>
      <c r="FF56" s="149"/>
      <c r="FG56" s="149"/>
      <c r="FH56" s="149"/>
      <c r="FI56" s="149"/>
      <c r="FJ56" s="149"/>
      <c r="FK56" s="149"/>
      <c r="FL56" s="149"/>
      <c r="FM56" s="149"/>
      <c r="FN56" s="149"/>
      <c r="FO56" s="149"/>
      <c r="FP56" s="149"/>
      <c r="FQ56" s="149"/>
      <c r="FR56" s="149"/>
      <c r="FS56" s="149"/>
      <c r="FT56" s="149"/>
      <c r="FU56" s="149"/>
      <c r="FV56" s="149"/>
      <c r="FW56" s="149"/>
      <c r="FX56" s="149"/>
      <c r="FY56" s="149"/>
      <c r="FZ56" s="149"/>
      <c r="GA56" s="149"/>
      <c r="GB56" s="149"/>
      <c r="GC56" s="149"/>
      <c r="GD56" s="149"/>
      <c r="GE56" s="149"/>
    </row>
    <row r="57" spans="1:187">
      <c r="A57" s="149"/>
      <c r="B57" s="149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51"/>
      <c r="O57" s="149"/>
      <c r="P57" s="149"/>
      <c r="Q57" s="149"/>
      <c r="R57" s="149"/>
      <c r="S57" s="149"/>
      <c r="T57" s="149"/>
      <c r="U57" s="149"/>
      <c r="V57" s="149"/>
      <c r="W57" s="149"/>
      <c r="X57" s="149"/>
      <c r="Y57" s="149"/>
      <c r="Z57" s="149"/>
      <c r="AA57" s="149"/>
      <c r="AB57" s="149"/>
      <c r="AC57" s="149"/>
      <c r="AD57" s="149"/>
      <c r="AE57" s="149"/>
      <c r="AF57" s="149"/>
      <c r="AG57" s="149"/>
      <c r="AH57" s="149"/>
      <c r="AI57" s="149"/>
      <c r="AJ57" s="149"/>
      <c r="AK57" s="149"/>
      <c r="AL57" s="149"/>
      <c r="AM57" s="149"/>
      <c r="AN57" s="149"/>
      <c r="AO57" s="149"/>
      <c r="AP57" s="149"/>
      <c r="AQ57" s="149"/>
      <c r="AR57" s="149"/>
      <c r="AS57" s="149"/>
      <c r="AT57" s="149"/>
      <c r="AU57" s="149"/>
      <c r="AV57" s="149"/>
      <c r="AW57" s="149"/>
      <c r="AX57" s="149"/>
      <c r="AY57" s="149"/>
      <c r="AZ57" s="149"/>
      <c r="BA57" s="149"/>
      <c r="BB57" s="149"/>
      <c r="BC57" s="149"/>
      <c r="BD57" s="149"/>
      <c r="BE57" s="151"/>
      <c r="BF57" s="149"/>
      <c r="BG57" s="149"/>
      <c r="BH57" s="149"/>
      <c r="BI57" s="149"/>
      <c r="BJ57" s="149"/>
      <c r="BK57" s="149"/>
      <c r="BL57" s="149"/>
      <c r="BM57" s="149"/>
      <c r="BN57" s="149"/>
      <c r="BO57" s="149"/>
      <c r="BP57" s="149"/>
      <c r="BQ57" s="149"/>
      <c r="BR57" s="149"/>
      <c r="BS57" s="149"/>
      <c r="BT57" s="149"/>
      <c r="BU57" s="149"/>
      <c r="BV57" s="149"/>
      <c r="BW57" s="149"/>
      <c r="BX57" s="149"/>
      <c r="BY57" s="149"/>
      <c r="BZ57" s="149"/>
      <c r="CA57" s="149"/>
      <c r="CB57" s="149"/>
      <c r="CC57" s="149"/>
      <c r="CD57" s="149"/>
      <c r="CE57" s="149"/>
      <c r="CF57" s="149"/>
      <c r="CG57" s="149"/>
      <c r="CH57" s="149"/>
      <c r="CI57" s="149"/>
      <c r="CJ57" s="149"/>
      <c r="CK57" s="149"/>
      <c r="CL57" s="149"/>
      <c r="CM57" s="149"/>
      <c r="CN57" s="149"/>
      <c r="CO57" s="149"/>
      <c r="CP57" s="149"/>
      <c r="CQ57" s="149"/>
      <c r="CR57" s="149"/>
      <c r="CS57" s="149"/>
      <c r="CT57" s="149"/>
      <c r="CU57" s="149"/>
      <c r="CV57" s="149"/>
      <c r="CW57" s="149"/>
      <c r="CX57" s="149"/>
      <c r="CY57" s="149"/>
      <c r="CZ57" s="149"/>
      <c r="DA57" s="149"/>
      <c r="DB57" s="149"/>
      <c r="DC57" s="149"/>
      <c r="DD57" s="149"/>
      <c r="DE57" s="149"/>
      <c r="DF57" s="149"/>
      <c r="DG57" s="149"/>
      <c r="DH57" s="149"/>
      <c r="DI57" s="149"/>
      <c r="DJ57" s="149"/>
      <c r="DK57" s="149"/>
      <c r="DL57" s="149"/>
      <c r="DM57" s="149"/>
      <c r="DN57" s="149"/>
      <c r="DO57" s="149"/>
      <c r="DP57" s="149"/>
      <c r="DQ57" s="149"/>
      <c r="DR57" s="149"/>
      <c r="DS57" s="149"/>
      <c r="DT57" s="149"/>
      <c r="DU57" s="149"/>
      <c r="DV57" s="149"/>
      <c r="DW57" s="149"/>
      <c r="DX57" s="149"/>
      <c r="DY57" s="149"/>
      <c r="DZ57" s="149"/>
      <c r="EA57" s="149"/>
      <c r="EB57" s="149"/>
      <c r="EC57" s="149"/>
      <c r="ED57" s="149"/>
      <c r="EE57" s="149"/>
      <c r="EF57" s="149"/>
      <c r="EG57" s="149"/>
      <c r="EH57" s="149"/>
      <c r="EI57" s="149"/>
      <c r="EJ57" s="149"/>
      <c r="EK57" s="149"/>
      <c r="EL57" s="149"/>
      <c r="EM57" s="149"/>
      <c r="EN57" s="149"/>
      <c r="EO57" s="149"/>
      <c r="EP57" s="149"/>
      <c r="EQ57" s="149"/>
      <c r="ER57" s="149"/>
      <c r="ES57" s="149"/>
      <c r="ET57" s="149"/>
      <c r="EU57" s="149"/>
      <c r="EV57" s="149"/>
      <c r="EW57" s="149"/>
      <c r="EX57" s="149"/>
      <c r="EY57" s="149"/>
      <c r="EZ57" s="149"/>
      <c r="FA57" s="149"/>
      <c r="FB57" s="149"/>
      <c r="FC57" s="149"/>
      <c r="FD57" s="149"/>
      <c r="FE57" s="149"/>
      <c r="FF57" s="149"/>
      <c r="FG57" s="149"/>
      <c r="FH57" s="149"/>
      <c r="FI57" s="149"/>
      <c r="FJ57" s="149"/>
      <c r="FK57" s="149"/>
      <c r="FL57" s="149"/>
      <c r="FM57" s="149"/>
      <c r="FN57" s="149"/>
      <c r="FO57" s="149"/>
      <c r="FP57" s="149"/>
      <c r="FQ57" s="149"/>
      <c r="FR57" s="149"/>
      <c r="FS57" s="149"/>
      <c r="FT57" s="149"/>
      <c r="FU57" s="149"/>
      <c r="FV57" s="149"/>
      <c r="FW57" s="149"/>
      <c r="FX57" s="149"/>
      <c r="FY57" s="149"/>
      <c r="FZ57" s="149"/>
      <c r="GA57" s="149"/>
      <c r="GB57" s="149"/>
      <c r="GC57" s="149"/>
      <c r="GD57" s="149"/>
      <c r="GE57" s="149"/>
    </row>
    <row r="58" spans="1:187">
      <c r="A58" s="149"/>
      <c r="B58" s="149"/>
      <c r="C58" s="149"/>
      <c r="D58" s="149"/>
      <c r="E58" s="149"/>
      <c r="F58" s="149"/>
      <c r="G58" s="149"/>
      <c r="H58" s="149"/>
      <c r="I58" s="149"/>
      <c r="J58" s="149"/>
      <c r="K58" s="149"/>
      <c r="L58" s="149"/>
      <c r="M58" s="149"/>
      <c r="N58" s="151"/>
      <c r="O58" s="149"/>
      <c r="P58" s="149"/>
      <c r="Q58" s="149"/>
      <c r="R58" s="149"/>
      <c r="S58" s="149"/>
      <c r="T58" s="149"/>
      <c r="U58" s="149"/>
      <c r="V58" s="149"/>
      <c r="W58" s="149"/>
      <c r="X58" s="149"/>
      <c r="Y58" s="149"/>
      <c r="Z58" s="149"/>
      <c r="AA58" s="149"/>
      <c r="AB58" s="149"/>
      <c r="AC58" s="149"/>
      <c r="AD58" s="149"/>
      <c r="AE58" s="149"/>
      <c r="AF58" s="149"/>
      <c r="AG58" s="149"/>
      <c r="AH58" s="149"/>
      <c r="AI58" s="149"/>
      <c r="AJ58" s="149"/>
      <c r="AK58" s="149"/>
      <c r="AL58" s="149"/>
      <c r="AM58" s="149"/>
      <c r="AN58" s="149"/>
      <c r="AO58" s="149"/>
      <c r="AP58" s="149"/>
      <c r="AQ58" s="149"/>
      <c r="AR58" s="149"/>
      <c r="AS58" s="149"/>
      <c r="AT58" s="149"/>
      <c r="AU58" s="149"/>
      <c r="AV58" s="149"/>
      <c r="AW58" s="149"/>
      <c r="AX58" s="149"/>
      <c r="AY58" s="149"/>
      <c r="AZ58" s="149"/>
      <c r="BA58" s="149"/>
      <c r="BB58" s="149"/>
      <c r="BC58" s="149"/>
      <c r="BD58" s="149"/>
      <c r="BE58" s="151"/>
      <c r="BF58" s="149"/>
      <c r="BG58" s="149"/>
      <c r="BH58" s="149"/>
      <c r="BI58" s="149"/>
      <c r="BJ58" s="149"/>
      <c r="BK58" s="149"/>
      <c r="BL58" s="149"/>
      <c r="BM58" s="149"/>
      <c r="BN58" s="149"/>
      <c r="BO58" s="149"/>
      <c r="BP58" s="149"/>
      <c r="BQ58" s="149"/>
      <c r="BR58" s="149"/>
      <c r="BS58" s="149"/>
      <c r="BT58" s="149"/>
      <c r="BU58" s="149"/>
      <c r="BV58" s="149"/>
      <c r="BW58" s="149"/>
      <c r="BX58" s="149"/>
      <c r="BY58" s="149"/>
      <c r="BZ58" s="149"/>
      <c r="CA58" s="149"/>
      <c r="CB58" s="149"/>
      <c r="CC58" s="149"/>
      <c r="CD58" s="149"/>
      <c r="CE58" s="149"/>
      <c r="CF58" s="149"/>
      <c r="CG58" s="149"/>
      <c r="CH58" s="149"/>
      <c r="CI58" s="149"/>
      <c r="CJ58" s="149"/>
      <c r="CK58" s="149"/>
      <c r="CL58" s="149"/>
      <c r="CM58" s="149"/>
      <c r="CN58" s="149"/>
      <c r="CO58" s="149"/>
      <c r="CP58" s="149"/>
      <c r="CQ58" s="149"/>
      <c r="CR58" s="149"/>
      <c r="CS58" s="149"/>
      <c r="CT58" s="149"/>
      <c r="CU58" s="149"/>
      <c r="CV58" s="149"/>
      <c r="CW58" s="149"/>
      <c r="CX58" s="149"/>
      <c r="CY58" s="149"/>
      <c r="CZ58" s="149"/>
      <c r="DA58" s="149"/>
      <c r="DB58" s="149"/>
      <c r="DC58" s="149"/>
      <c r="DD58" s="149"/>
      <c r="DE58" s="149"/>
      <c r="DF58" s="149"/>
      <c r="DG58" s="149"/>
      <c r="DH58" s="149"/>
      <c r="DI58" s="149"/>
      <c r="DJ58" s="149"/>
      <c r="DK58" s="149"/>
      <c r="DL58" s="149"/>
      <c r="DM58" s="149"/>
      <c r="DN58" s="149"/>
      <c r="DO58" s="149"/>
      <c r="DP58" s="149"/>
      <c r="DQ58" s="149"/>
      <c r="DR58" s="149"/>
      <c r="DS58" s="149"/>
      <c r="DT58" s="149"/>
      <c r="DU58" s="149"/>
      <c r="DV58" s="149"/>
      <c r="DW58" s="149"/>
      <c r="DX58" s="149"/>
      <c r="DY58" s="149"/>
      <c r="DZ58" s="149"/>
      <c r="EA58" s="149"/>
      <c r="EB58" s="149"/>
      <c r="EC58" s="149"/>
      <c r="ED58" s="149"/>
      <c r="EE58" s="149"/>
      <c r="EF58" s="149"/>
      <c r="EG58" s="149"/>
      <c r="EH58" s="149"/>
      <c r="EI58" s="149"/>
      <c r="EJ58" s="149"/>
      <c r="EK58" s="149"/>
      <c r="EL58" s="149"/>
      <c r="EM58" s="149"/>
      <c r="EN58" s="149"/>
      <c r="EO58" s="149"/>
      <c r="EP58" s="149"/>
      <c r="EQ58" s="149"/>
      <c r="ER58" s="149"/>
      <c r="ES58" s="149"/>
      <c r="ET58" s="149"/>
      <c r="EU58" s="149"/>
      <c r="EV58" s="149"/>
      <c r="EW58" s="149"/>
      <c r="EX58" s="149"/>
      <c r="EY58" s="149"/>
      <c r="EZ58" s="149"/>
      <c r="FA58" s="149"/>
      <c r="FB58" s="149"/>
      <c r="FC58" s="149"/>
      <c r="FD58" s="149"/>
      <c r="FE58" s="149"/>
      <c r="FF58" s="149"/>
      <c r="FG58" s="149"/>
      <c r="FH58" s="149"/>
      <c r="FI58" s="149"/>
      <c r="FJ58" s="149"/>
      <c r="FK58" s="149"/>
      <c r="FL58" s="149"/>
      <c r="FM58" s="149"/>
      <c r="FN58" s="149"/>
      <c r="FO58" s="149"/>
      <c r="FP58" s="149"/>
      <c r="FQ58" s="149"/>
      <c r="FR58" s="149"/>
      <c r="FS58" s="149"/>
      <c r="FT58" s="149"/>
      <c r="FU58" s="149"/>
      <c r="FV58" s="149"/>
      <c r="FW58" s="149"/>
      <c r="FX58" s="149"/>
      <c r="FY58" s="149"/>
      <c r="FZ58" s="149"/>
      <c r="GA58" s="149"/>
      <c r="GB58" s="149"/>
      <c r="GC58" s="149"/>
      <c r="GD58" s="149"/>
      <c r="GE58" s="149"/>
    </row>
    <row r="59" spans="1:187">
      <c r="A59" s="149"/>
      <c r="B59" s="149"/>
      <c r="C59" s="149"/>
      <c r="D59" s="149"/>
      <c r="E59" s="149"/>
      <c r="F59" s="149"/>
      <c r="G59" s="149"/>
      <c r="H59" s="149"/>
      <c r="I59" s="149"/>
      <c r="J59" s="149"/>
      <c r="K59" s="149"/>
      <c r="L59" s="149"/>
      <c r="M59" s="149"/>
      <c r="N59" s="151"/>
      <c r="O59" s="149"/>
      <c r="P59" s="149"/>
      <c r="Q59" s="149"/>
      <c r="R59" s="149"/>
      <c r="S59" s="149"/>
      <c r="T59" s="149"/>
      <c r="U59" s="149"/>
      <c r="V59" s="149"/>
      <c r="W59" s="149"/>
      <c r="X59" s="149"/>
      <c r="Y59" s="149"/>
      <c r="Z59" s="149"/>
      <c r="AA59" s="149"/>
      <c r="AB59" s="149"/>
      <c r="AC59" s="149"/>
      <c r="AD59" s="149"/>
      <c r="AE59" s="149"/>
      <c r="AF59" s="149"/>
      <c r="AG59" s="149"/>
      <c r="AH59" s="149"/>
      <c r="AI59" s="149"/>
      <c r="AJ59" s="149"/>
      <c r="AK59" s="149"/>
      <c r="AL59" s="149"/>
      <c r="AM59" s="149"/>
      <c r="AN59" s="149"/>
      <c r="AO59" s="149"/>
      <c r="AP59" s="149"/>
      <c r="AQ59" s="149"/>
      <c r="AR59" s="149"/>
      <c r="AS59" s="149"/>
      <c r="AT59" s="149"/>
      <c r="AU59" s="149"/>
      <c r="AV59" s="149"/>
      <c r="AW59" s="149"/>
      <c r="AX59" s="149"/>
      <c r="AY59" s="149"/>
      <c r="AZ59" s="149"/>
      <c r="BA59" s="149"/>
      <c r="BB59" s="149"/>
      <c r="BC59" s="149"/>
      <c r="BD59" s="149"/>
      <c r="BE59" s="151"/>
      <c r="BF59" s="149"/>
      <c r="BG59" s="149"/>
      <c r="BH59" s="149"/>
      <c r="BI59" s="149"/>
      <c r="BJ59" s="149"/>
      <c r="BK59" s="149"/>
      <c r="BL59" s="149"/>
      <c r="BM59" s="149"/>
      <c r="BN59" s="149"/>
      <c r="BO59" s="149"/>
      <c r="BP59" s="149"/>
      <c r="BQ59" s="149"/>
      <c r="BR59" s="149"/>
      <c r="BS59" s="149"/>
      <c r="BT59" s="149"/>
      <c r="BU59" s="149"/>
      <c r="BV59" s="149"/>
      <c r="BW59" s="149"/>
      <c r="BX59" s="149"/>
      <c r="BY59" s="149"/>
      <c r="BZ59" s="149"/>
      <c r="CA59" s="149"/>
      <c r="CB59" s="149"/>
      <c r="CC59" s="149"/>
      <c r="CD59" s="149"/>
      <c r="CE59" s="149"/>
      <c r="CF59" s="149"/>
      <c r="CG59" s="149"/>
      <c r="CH59" s="149"/>
      <c r="CI59" s="149"/>
      <c r="CJ59" s="149"/>
      <c r="CK59" s="149"/>
      <c r="CL59" s="149"/>
      <c r="CM59" s="149"/>
      <c r="CN59" s="149"/>
      <c r="CO59" s="149"/>
      <c r="CP59" s="149"/>
      <c r="CQ59" s="149"/>
      <c r="CR59" s="149"/>
      <c r="CS59" s="149"/>
      <c r="CT59" s="149"/>
      <c r="CU59" s="149"/>
      <c r="CV59" s="149"/>
      <c r="CW59" s="149"/>
      <c r="CX59" s="149"/>
      <c r="CY59" s="149"/>
      <c r="CZ59" s="149"/>
      <c r="DA59" s="149"/>
      <c r="DB59" s="149"/>
      <c r="DC59" s="149"/>
      <c r="DD59" s="149"/>
      <c r="DE59" s="149"/>
      <c r="DF59" s="149"/>
      <c r="DG59" s="149"/>
      <c r="DH59" s="149"/>
      <c r="DI59" s="149"/>
      <c r="DJ59" s="149"/>
      <c r="DK59" s="149"/>
      <c r="DL59" s="149"/>
      <c r="DM59" s="149"/>
      <c r="DN59" s="149"/>
      <c r="DO59" s="149"/>
      <c r="DP59" s="149"/>
      <c r="DQ59" s="149"/>
      <c r="DR59" s="149"/>
      <c r="DS59" s="149"/>
      <c r="DT59" s="149"/>
      <c r="DU59" s="149"/>
      <c r="DV59" s="149"/>
      <c r="DW59" s="149"/>
      <c r="DX59" s="149"/>
      <c r="DY59" s="149"/>
      <c r="DZ59" s="149"/>
      <c r="EA59" s="149"/>
      <c r="EB59" s="149"/>
      <c r="EC59" s="149"/>
      <c r="ED59" s="149"/>
      <c r="EE59" s="149"/>
      <c r="EF59" s="149"/>
      <c r="EG59" s="149"/>
      <c r="EH59" s="149"/>
      <c r="EI59" s="149"/>
      <c r="EJ59" s="149"/>
      <c r="EK59" s="149"/>
      <c r="EL59" s="149"/>
      <c r="EM59" s="149"/>
      <c r="EN59" s="149"/>
      <c r="EO59" s="149"/>
      <c r="EP59" s="149"/>
      <c r="EQ59" s="149"/>
      <c r="ER59" s="149"/>
      <c r="ES59" s="149"/>
      <c r="ET59" s="149"/>
      <c r="EU59" s="149"/>
      <c r="EV59" s="149"/>
      <c r="EW59" s="149"/>
      <c r="EX59" s="149"/>
      <c r="EY59" s="149"/>
      <c r="EZ59" s="149"/>
      <c r="FA59" s="149"/>
      <c r="FB59" s="149"/>
      <c r="FC59" s="149"/>
      <c r="FD59" s="149"/>
      <c r="FE59" s="149"/>
      <c r="FF59" s="149"/>
      <c r="FG59" s="149"/>
      <c r="FH59" s="149"/>
      <c r="FI59" s="149"/>
      <c r="FJ59" s="149"/>
      <c r="FK59" s="149"/>
      <c r="FL59" s="149"/>
      <c r="FM59" s="149"/>
      <c r="FN59" s="149"/>
      <c r="FO59" s="149"/>
      <c r="FP59" s="149"/>
      <c r="FQ59" s="149"/>
      <c r="FR59" s="149"/>
      <c r="FS59" s="149"/>
      <c r="FT59" s="149"/>
      <c r="FU59" s="149"/>
      <c r="FV59" s="149"/>
      <c r="FW59" s="149"/>
      <c r="FX59" s="149"/>
      <c r="FY59" s="149"/>
      <c r="FZ59" s="149"/>
      <c r="GA59" s="149"/>
      <c r="GB59" s="149"/>
      <c r="GC59" s="149"/>
      <c r="GD59" s="149"/>
      <c r="GE59" s="149"/>
    </row>
    <row r="60" spans="1:187">
      <c r="A60" s="149"/>
      <c r="B60" s="149"/>
      <c r="C60" s="149"/>
      <c r="D60" s="149"/>
      <c r="E60" s="149"/>
      <c r="F60" s="149"/>
      <c r="G60" s="149"/>
      <c r="H60" s="149"/>
      <c r="I60" s="149"/>
      <c r="J60" s="149"/>
      <c r="K60" s="149"/>
      <c r="L60" s="149"/>
      <c r="M60" s="149"/>
      <c r="N60" s="151"/>
      <c r="O60" s="149"/>
      <c r="P60" s="149"/>
      <c r="Q60" s="149"/>
      <c r="R60" s="149"/>
      <c r="S60" s="149"/>
      <c r="T60" s="149"/>
      <c r="U60" s="149"/>
      <c r="V60" s="149"/>
      <c r="W60" s="149"/>
      <c r="X60" s="149"/>
      <c r="Y60" s="149"/>
      <c r="Z60" s="149"/>
      <c r="AA60" s="149"/>
      <c r="AB60" s="149"/>
      <c r="AC60" s="149"/>
      <c r="AD60" s="149"/>
      <c r="AE60" s="149"/>
      <c r="AF60" s="149"/>
      <c r="AG60" s="149"/>
      <c r="AH60" s="149"/>
      <c r="AI60" s="149"/>
      <c r="AJ60" s="149"/>
      <c r="AK60" s="149"/>
      <c r="AL60" s="149"/>
      <c r="AM60" s="149"/>
      <c r="AN60" s="149"/>
      <c r="AO60" s="149"/>
      <c r="AP60" s="149"/>
      <c r="AQ60" s="149"/>
      <c r="AR60" s="149"/>
      <c r="AS60" s="149"/>
      <c r="AT60" s="149"/>
      <c r="AU60" s="149"/>
      <c r="AV60" s="149"/>
      <c r="AW60" s="149"/>
      <c r="AX60" s="149"/>
      <c r="AY60" s="149"/>
      <c r="AZ60" s="149"/>
      <c r="BA60" s="149"/>
      <c r="BB60" s="149"/>
      <c r="BC60" s="149"/>
      <c r="BD60" s="149"/>
      <c r="BE60" s="151"/>
      <c r="BF60" s="149"/>
      <c r="BG60" s="149"/>
      <c r="BH60" s="149"/>
      <c r="BI60" s="149"/>
      <c r="BJ60" s="149"/>
      <c r="BK60" s="149"/>
      <c r="BL60" s="149"/>
      <c r="BM60" s="149"/>
      <c r="BN60" s="149"/>
      <c r="BO60" s="149"/>
      <c r="BP60" s="149"/>
      <c r="BQ60" s="149"/>
      <c r="BR60" s="149"/>
      <c r="BS60" s="149"/>
      <c r="BT60" s="149"/>
      <c r="BU60" s="149"/>
      <c r="BV60" s="149"/>
      <c r="BW60" s="149"/>
      <c r="BX60" s="149"/>
      <c r="BY60" s="149"/>
      <c r="BZ60" s="149"/>
      <c r="CA60" s="149"/>
      <c r="CB60" s="149"/>
      <c r="CC60" s="149"/>
      <c r="CD60" s="149"/>
      <c r="CE60" s="149"/>
      <c r="CF60" s="149"/>
      <c r="CG60" s="149"/>
      <c r="CH60" s="149"/>
      <c r="CI60" s="149"/>
      <c r="CJ60" s="149"/>
      <c r="CK60" s="149"/>
      <c r="CL60" s="149"/>
      <c r="CM60" s="149"/>
      <c r="CN60" s="149"/>
      <c r="CO60" s="149"/>
      <c r="CP60" s="149"/>
      <c r="CQ60" s="149"/>
      <c r="CR60" s="149"/>
      <c r="CS60" s="149"/>
      <c r="CT60" s="149"/>
      <c r="CU60" s="149"/>
      <c r="CV60" s="149"/>
      <c r="CW60" s="149"/>
      <c r="CX60" s="149"/>
      <c r="CY60" s="149"/>
      <c r="CZ60" s="149"/>
      <c r="DA60" s="149"/>
      <c r="DB60" s="149"/>
      <c r="DC60" s="149"/>
      <c r="DD60" s="149"/>
      <c r="DE60" s="149"/>
      <c r="DF60" s="149"/>
      <c r="DG60" s="149"/>
      <c r="DH60" s="149"/>
      <c r="DI60" s="149"/>
      <c r="DJ60" s="149"/>
      <c r="DK60" s="149"/>
      <c r="DL60" s="149"/>
      <c r="DM60" s="149"/>
      <c r="DN60" s="149"/>
      <c r="DO60" s="149"/>
      <c r="DP60" s="149"/>
      <c r="DQ60" s="149"/>
      <c r="DR60" s="149"/>
      <c r="DS60" s="149"/>
      <c r="DT60" s="149"/>
      <c r="DU60" s="149"/>
      <c r="DV60" s="149"/>
      <c r="DW60" s="149"/>
      <c r="DX60" s="149"/>
      <c r="DY60" s="149"/>
      <c r="DZ60" s="149"/>
      <c r="EA60" s="149"/>
      <c r="EB60" s="149"/>
      <c r="EC60" s="149"/>
      <c r="ED60" s="149"/>
      <c r="EE60" s="149"/>
      <c r="EF60" s="149"/>
      <c r="EG60" s="149"/>
      <c r="EH60" s="149"/>
      <c r="EI60" s="149"/>
      <c r="EJ60" s="149"/>
      <c r="EK60" s="149"/>
      <c r="EL60" s="149"/>
      <c r="EM60" s="149"/>
      <c r="EN60" s="149"/>
      <c r="EO60" s="149"/>
      <c r="EP60" s="149"/>
      <c r="EQ60" s="149"/>
      <c r="ER60" s="149"/>
      <c r="ES60" s="149"/>
      <c r="ET60" s="149"/>
      <c r="EU60" s="149"/>
      <c r="EV60" s="149"/>
      <c r="EW60" s="149"/>
      <c r="EX60" s="149"/>
      <c r="EY60" s="149"/>
      <c r="EZ60" s="149"/>
      <c r="FA60" s="149"/>
      <c r="FB60" s="149"/>
      <c r="FC60" s="149"/>
      <c r="FD60" s="149"/>
      <c r="FE60" s="149"/>
      <c r="FF60" s="149"/>
      <c r="FG60" s="149"/>
      <c r="FH60" s="149"/>
      <c r="FI60" s="149"/>
      <c r="FJ60" s="149"/>
      <c r="FK60" s="149"/>
      <c r="FL60" s="149"/>
      <c r="FM60" s="149"/>
      <c r="FN60" s="149"/>
      <c r="FO60" s="149"/>
      <c r="FP60" s="149"/>
      <c r="FQ60" s="149"/>
      <c r="FR60" s="149"/>
      <c r="FS60" s="149"/>
      <c r="FT60" s="149"/>
      <c r="FU60" s="149"/>
      <c r="FV60" s="149"/>
      <c r="FW60" s="149"/>
      <c r="FX60" s="149"/>
      <c r="FY60" s="149"/>
      <c r="FZ60" s="149"/>
      <c r="GA60" s="149"/>
      <c r="GB60" s="149"/>
      <c r="GC60" s="149"/>
      <c r="GD60" s="149"/>
      <c r="GE60" s="149"/>
    </row>
    <row r="61" spans="1:187">
      <c r="A61" s="149"/>
      <c r="B61" s="149"/>
      <c r="C61" s="149"/>
      <c r="D61" s="149"/>
      <c r="E61" s="149"/>
      <c r="F61" s="149"/>
      <c r="G61" s="149"/>
      <c r="H61" s="149"/>
      <c r="I61" s="149"/>
      <c r="J61" s="149"/>
      <c r="K61" s="149"/>
      <c r="L61" s="149"/>
      <c r="M61" s="149"/>
      <c r="N61" s="151"/>
      <c r="O61" s="149"/>
      <c r="P61" s="149"/>
      <c r="Q61" s="149"/>
      <c r="R61" s="149"/>
      <c r="S61" s="149"/>
      <c r="T61" s="149"/>
      <c r="U61" s="149"/>
      <c r="V61" s="149"/>
      <c r="W61" s="149"/>
      <c r="X61" s="149"/>
      <c r="Y61" s="149"/>
      <c r="Z61" s="149"/>
      <c r="AA61" s="149"/>
      <c r="AB61" s="149"/>
      <c r="AC61" s="149"/>
      <c r="AD61" s="149"/>
      <c r="AE61" s="149"/>
      <c r="AF61" s="149"/>
      <c r="AG61" s="149"/>
      <c r="AH61" s="149"/>
      <c r="AI61" s="149"/>
      <c r="AJ61" s="149"/>
      <c r="AK61" s="149"/>
      <c r="AL61" s="149"/>
      <c r="AM61" s="149"/>
      <c r="AN61" s="149"/>
      <c r="AO61" s="149"/>
      <c r="AP61" s="149"/>
      <c r="AQ61" s="149"/>
      <c r="AR61" s="149"/>
      <c r="AS61" s="149"/>
      <c r="AT61" s="149"/>
      <c r="AU61" s="149"/>
      <c r="AV61" s="149"/>
      <c r="AW61" s="149"/>
      <c r="AX61" s="149"/>
      <c r="AY61" s="149"/>
      <c r="AZ61" s="149"/>
      <c r="BA61" s="149"/>
      <c r="BB61" s="149"/>
      <c r="BC61" s="149"/>
      <c r="BD61" s="149"/>
      <c r="BE61" s="151"/>
      <c r="BF61" s="149"/>
      <c r="BG61" s="149"/>
      <c r="BH61" s="149"/>
      <c r="BI61" s="149"/>
      <c r="BJ61" s="149"/>
      <c r="BK61" s="149"/>
      <c r="BL61" s="149"/>
      <c r="BM61" s="149"/>
      <c r="BN61" s="149"/>
      <c r="BO61" s="149"/>
      <c r="BP61" s="149"/>
      <c r="BQ61" s="149"/>
      <c r="BR61" s="149"/>
      <c r="BS61" s="149"/>
      <c r="BT61" s="149"/>
      <c r="BU61" s="149"/>
      <c r="BV61" s="149"/>
      <c r="BW61" s="149"/>
      <c r="BX61" s="149"/>
      <c r="BY61" s="149"/>
      <c r="BZ61" s="149"/>
      <c r="CA61" s="149"/>
      <c r="CB61" s="149"/>
      <c r="CC61" s="149"/>
      <c r="CD61" s="149"/>
      <c r="CE61" s="149"/>
      <c r="CF61" s="149"/>
      <c r="CG61" s="149"/>
      <c r="CH61" s="149"/>
      <c r="CI61" s="149"/>
      <c r="CJ61" s="149"/>
      <c r="CK61" s="149"/>
      <c r="CL61" s="149"/>
      <c r="CM61" s="149"/>
      <c r="CN61" s="149"/>
      <c r="CO61" s="149"/>
      <c r="CP61" s="149"/>
      <c r="CQ61" s="149"/>
      <c r="CR61" s="149"/>
      <c r="CS61" s="149"/>
      <c r="CT61" s="149"/>
      <c r="CU61" s="149"/>
      <c r="CV61" s="149"/>
      <c r="CW61" s="149"/>
      <c r="CX61" s="149"/>
      <c r="CY61" s="149"/>
      <c r="CZ61" s="149"/>
      <c r="DA61" s="149"/>
      <c r="DB61" s="149"/>
      <c r="DC61" s="149"/>
      <c r="DD61" s="149"/>
      <c r="DE61" s="149"/>
      <c r="DF61" s="149"/>
      <c r="DG61" s="149"/>
      <c r="DH61" s="149"/>
      <c r="DI61" s="149"/>
      <c r="DJ61" s="149"/>
      <c r="DK61" s="149"/>
      <c r="DL61" s="149"/>
      <c r="DM61" s="149"/>
      <c r="DN61" s="149"/>
      <c r="DO61" s="149"/>
      <c r="DP61" s="149"/>
      <c r="DQ61" s="149"/>
      <c r="DR61" s="149"/>
      <c r="DS61" s="149"/>
      <c r="DT61" s="149"/>
      <c r="DU61" s="149"/>
      <c r="DV61" s="149"/>
      <c r="DW61" s="149"/>
      <c r="DX61" s="149"/>
      <c r="DY61" s="149"/>
      <c r="DZ61" s="149"/>
      <c r="EA61" s="149"/>
      <c r="EB61" s="149"/>
      <c r="EC61" s="149"/>
      <c r="ED61" s="149"/>
      <c r="EE61" s="149"/>
      <c r="EF61" s="149"/>
      <c r="EG61" s="149"/>
      <c r="EH61" s="149"/>
      <c r="EI61" s="149"/>
      <c r="EJ61" s="149"/>
      <c r="EK61" s="149"/>
      <c r="EL61" s="149"/>
      <c r="EM61" s="149"/>
      <c r="EN61" s="149"/>
      <c r="EO61" s="149"/>
      <c r="EP61" s="149"/>
      <c r="EQ61" s="149"/>
      <c r="ER61" s="149"/>
      <c r="ES61" s="149"/>
      <c r="ET61" s="149"/>
      <c r="EU61" s="149"/>
      <c r="EV61" s="149"/>
      <c r="EW61" s="149"/>
      <c r="EX61" s="149"/>
      <c r="EY61" s="149"/>
      <c r="EZ61" s="149"/>
      <c r="FA61" s="149"/>
      <c r="FB61" s="149"/>
      <c r="FC61" s="149"/>
      <c r="FD61" s="149"/>
      <c r="FE61" s="149"/>
      <c r="FF61" s="149"/>
      <c r="FG61" s="149"/>
      <c r="FH61" s="149"/>
      <c r="FI61" s="149"/>
      <c r="FJ61" s="149"/>
      <c r="FK61" s="149"/>
      <c r="FL61" s="149"/>
      <c r="FM61" s="149"/>
      <c r="FN61" s="149"/>
      <c r="FO61" s="149"/>
      <c r="FP61" s="149"/>
      <c r="FQ61" s="149"/>
      <c r="FR61" s="149"/>
      <c r="FS61" s="149"/>
      <c r="FT61" s="149"/>
      <c r="FU61" s="149"/>
      <c r="FV61" s="149"/>
      <c r="FW61" s="149"/>
      <c r="FX61" s="149"/>
      <c r="FY61" s="149"/>
      <c r="FZ61" s="149"/>
      <c r="GA61" s="149"/>
      <c r="GB61" s="149"/>
      <c r="GC61" s="149"/>
      <c r="GD61" s="149"/>
      <c r="GE61" s="149"/>
    </row>
    <row r="62" spans="1:187">
      <c r="A62" s="149"/>
      <c r="B62" s="149"/>
      <c r="C62" s="149"/>
      <c r="D62" s="149"/>
      <c r="E62" s="149"/>
      <c r="F62" s="149"/>
      <c r="G62" s="149"/>
      <c r="H62" s="149"/>
      <c r="I62" s="149"/>
      <c r="J62" s="149"/>
      <c r="K62" s="149"/>
      <c r="L62" s="149"/>
      <c r="M62" s="149"/>
      <c r="N62" s="151"/>
      <c r="O62" s="149"/>
      <c r="P62" s="149"/>
      <c r="Q62" s="149"/>
      <c r="R62" s="149"/>
      <c r="S62" s="149"/>
      <c r="T62" s="149"/>
      <c r="U62" s="149"/>
      <c r="V62" s="149"/>
      <c r="W62" s="149"/>
      <c r="X62" s="149"/>
      <c r="Y62" s="149"/>
      <c r="Z62" s="149"/>
      <c r="AA62" s="149"/>
      <c r="AB62" s="149"/>
      <c r="AC62" s="149"/>
      <c r="AD62" s="149"/>
      <c r="AE62" s="149"/>
      <c r="AF62" s="149"/>
      <c r="AG62" s="149"/>
      <c r="AH62" s="149"/>
      <c r="AI62" s="149"/>
      <c r="AJ62" s="149"/>
      <c r="AK62" s="149"/>
      <c r="AL62" s="149"/>
      <c r="AM62" s="149"/>
      <c r="AN62" s="149"/>
      <c r="AO62" s="149"/>
      <c r="AP62" s="149"/>
      <c r="AQ62" s="149"/>
      <c r="AR62" s="149"/>
      <c r="AS62" s="149"/>
      <c r="AT62" s="149"/>
      <c r="AU62" s="149"/>
      <c r="AV62" s="149"/>
      <c r="AW62" s="149"/>
      <c r="AX62" s="149"/>
      <c r="AY62" s="149"/>
      <c r="AZ62" s="149"/>
      <c r="BA62" s="149"/>
      <c r="BB62" s="149"/>
      <c r="BC62" s="149"/>
      <c r="BD62" s="149"/>
      <c r="BE62" s="151"/>
      <c r="BF62" s="149"/>
      <c r="BG62" s="149"/>
      <c r="BH62" s="149"/>
      <c r="BI62" s="149"/>
      <c r="BJ62" s="149"/>
      <c r="BK62" s="149"/>
      <c r="BL62" s="149"/>
      <c r="BM62" s="149"/>
      <c r="BN62" s="149"/>
      <c r="BO62" s="149"/>
      <c r="BP62" s="149"/>
      <c r="BQ62" s="149"/>
      <c r="BR62" s="149"/>
      <c r="BS62" s="149"/>
      <c r="BT62" s="149"/>
      <c r="BU62" s="149"/>
      <c r="BV62" s="149"/>
      <c r="BW62" s="149"/>
      <c r="BX62" s="149"/>
      <c r="BY62" s="149"/>
      <c r="BZ62" s="149"/>
      <c r="CA62" s="149"/>
      <c r="CB62" s="149"/>
      <c r="CC62" s="149"/>
      <c r="CD62" s="149"/>
      <c r="CE62" s="149"/>
      <c r="CF62" s="149"/>
      <c r="CG62" s="149"/>
      <c r="CH62" s="149"/>
      <c r="CI62" s="149"/>
      <c r="CJ62" s="149"/>
      <c r="CK62" s="149"/>
      <c r="CL62" s="149"/>
      <c r="CM62" s="149"/>
      <c r="CN62" s="149"/>
      <c r="CO62" s="149"/>
      <c r="CP62" s="149"/>
      <c r="CQ62" s="149"/>
      <c r="CR62" s="149"/>
      <c r="CS62" s="149"/>
      <c r="CT62" s="149"/>
      <c r="CU62" s="149"/>
      <c r="CV62" s="149"/>
      <c r="CW62" s="149"/>
      <c r="CX62" s="149"/>
      <c r="CY62" s="149"/>
      <c r="CZ62" s="149"/>
      <c r="DA62" s="149"/>
      <c r="DB62" s="149"/>
      <c r="DC62" s="149"/>
      <c r="DD62" s="149"/>
      <c r="DE62" s="149"/>
      <c r="DF62" s="149"/>
      <c r="DG62" s="149"/>
      <c r="DH62" s="149"/>
      <c r="DI62" s="149"/>
      <c r="DJ62" s="149"/>
      <c r="DK62" s="149"/>
      <c r="DL62" s="149"/>
      <c r="DM62" s="149"/>
      <c r="DN62" s="149"/>
      <c r="DO62" s="149"/>
      <c r="DP62" s="149"/>
      <c r="DQ62" s="149"/>
      <c r="DR62" s="149"/>
      <c r="DS62" s="149"/>
      <c r="DT62" s="149"/>
      <c r="DU62" s="149"/>
      <c r="DV62" s="149"/>
      <c r="DW62" s="149"/>
      <c r="DX62" s="149"/>
      <c r="DY62" s="149"/>
      <c r="DZ62" s="149"/>
      <c r="EA62" s="149"/>
      <c r="EB62" s="149"/>
      <c r="EC62" s="149"/>
      <c r="ED62" s="149"/>
      <c r="EE62" s="149"/>
      <c r="EF62" s="149"/>
      <c r="EG62" s="149"/>
      <c r="EH62" s="149"/>
      <c r="EI62" s="149"/>
      <c r="EJ62" s="149"/>
      <c r="EK62" s="149"/>
      <c r="EL62" s="149"/>
      <c r="EM62" s="149"/>
      <c r="EN62" s="149"/>
      <c r="EO62" s="149"/>
      <c r="EP62" s="149"/>
      <c r="EQ62" s="149"/>
      <c r="ER62" s="149"/>
      <c r="ES62" s="149"/>
      <c r="ET62" s="149"/>
      <c r="EU62" s="149"/>
      <c r="EV62" s="149"/>
      <c r="EW62" s="149"/>
      <c r="EX62" s="149"/>
      <c r="EY62" s="149"/>
      <c r="EZ62" s="149"/>
      <c r="FA62" s="149"/>
      <c r="FB62" s="149"/>
      <c r="FC62" s="149"/>
      <c r="FD62" s="149"/>
      <c r="FE62" s="149"/>
      <c r="FF62" s="149"/>
      <c r="FG62" s="149"/>
      <c r="FH62" s="149"/>
      <c r="FI62" s="149"/>
      <c r="FJ62" s="149"/>
      <c r="FK62" s="149"/>
      <c r="FL62" s="149"/>
      <c r="FM62" s="149"/>
      <c r="FN62" s="149"/>
      <c r="FO62" s="149"/>
      <c r="FP62" s="149"/>
      <c r="FQ62" s="149"/>
      <c r="FR62" s="149"/>
      <c r="FS62" s="149"/>
      <c r="FT62" s="149"/>
      <c r="FU62" s="149"/>
      <c r="FV62" s="149"/>
      <c r="FW62" s="149"/>
      <c r="FX62" s="149"/>
      <c r="FY62" s="149"/>
      <c r="FZ62" s="149"/>
      <c r="GA62" s="149"/>
      <c r="GB62" s="149"/>
      <c r="GC62" s="149"/>
      <c r="GD62" s="149"/>
      <c r="GE62" s="149"/>
    </row>
    <row r="63" spans="1:187">
      <c r="A63" s="149"/>
      <c r="B63" s="149"/>
      <c r="C63" s="149"/>
      <c r="D63" s="149"/>
      <c r="E63" s="149"/>
      <c r="F63" s="149"/>
      <c r="G63" s="149"/>
      <c r="H63" s="149"/>
      <c r="I63" s="149"/>
      <c r="J63" s="149"/>
      <c r="K63" s="149"/>
      <c r="L63" s="149"/>
      <c r="M63" s="149"/>
      <c r="N63" s="151"/>
      <c r="O63" s="149"/>
      <c r="P63" s="149"/>
      <c r="Q63" s="149"/>
      <c r="R63" s="149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49"/>
      <c r="AD63" s="149"/>
      <c r="AE63" s="149"/>
      <c r="AF63" s="149"/>
      <c r="AG63" s="149"/>
      <c r="AH63" s="149"/>
      <c r="AI63" s="149"/>
      <c r="AJ63" s="149"/>
      <c r="AK63" s="149"/>
      <c r="AL63" s="149"/>
      <c r="AM63" s="149"/>
      <c r="AN63" s="149"/>
      <c r="AO63" s="149"/>
      <c r="AP63" s="149"/>
      <c r="AQ63" s="149"/>
      <c r="AR63" s="149"/>
      <c r="AS63" s="149"/>
      <c r="AT63" s="149"/>
      <c r="AU63" s="149"/>
      <c r="AV63" s="149"/>
      <c r="AW63" s="149"/>
      <c r="AX63" s="149"/>
      <c r="AY63" s="149"/>
      <c r="AZ63" s="149"/>
      <c r="BA63" s="149"/>
      <c r="BB63" s="149"/>
      <c r="BC63" s="149"/>
      <c r="BD63" s="149"/>
      <c r="BE63" s="151"/>
      <c r="BF63" s="149"/>
      <c r="BG63" s="149"/>
      <c r="BH63" s="149"/>
      <c r="BI63" s="149"/>
      <c r="BJ63" s="149"/>
      <c r="BK63" s="149"/>
      <c r="BL63" s="149"/>
      <c r="BM63" s="149"/>
      <c r="BN63" s="149"/>
      <c r="BO63" s="149"/>
      <c r="BP63" s="149"/>
      <c r="BQ63" s="149"/>
      <c r="BR63" s="149"/>
      <c r="BS63" s="149"/>
      <c r="BT63" s="149"/>
      <c r="BU63" s="149"/>
      <c r="BV63" s="149"/>
      <c r="BW63" s="149"/>
      <c r="BX63" s="149"/>
      <c r="BY63" s="149"/>
      <c r="BZ63" s="149"/>
      <c r="CA63" s="149"/>
      <c r="CB63" s="149"/>
      <c r="CC63" s="149"/>
      <c r="CD63" s="149"/>
      <c r="CE63" s="149"/>
      <c r="CF63" s="149"/>
      <c r="CG63" s="149"/>
      <c r="CH63" s="149"/>
      <c r="CI63" s="149"/>
      <c r="CJ63" s="149"/>
      <c r="CK63" s="149"/>
      <c r="CL63" s="149"/>
      <c r="CM63" s="149"/>
      <c r="CN63" s="149"/>
      <c r="CO63" s="149"/>
      <c r="CP63" s="149"/>
      <c r="CQ63" s="149"/>
      <c r="CR63" s="149"/>
      <c r="CS63" s="149"/>
      <c r="CT63" s="149"/>
      <c r="CU63" s="149"/>
      <c r="CV63" s="149"/>
      <c r="CW63" s="149"/>
      <c r="CX63" s="149"/>
      <c r="CY63" s="149"/>
      <c r="CZ63" s="149"/>
      <c r="DA63" s="149"/>
      <c r="DB63" s="149"/>
      <c r="DC63" s="149"/>
      <c r="DD63" s="149"/>
      <c r="DE63" s="149"/>
      <c r="DF63" s="149"/>
      <c r="DG63" s="149"/>
      <c r="DH63" s="149"/>
      <c r="DI63" s="149"/>
      <c r="DJ63" s="149"/>
      <c r="DK63" s="149"/>
      <c r="DL63" s="149"/>
      <c r="DM63" s="149"/>
      <c r="DN63" s="149"/>
      <c r="DO63" s="149"/>
      <c r="DP63" s="149"/>
      <c r="DQ63" s="149"/>
      <c r="DR63" s="149"/>
      <c r="DS63" s="149"/>
      <c r="DT63" s="149"/>
      <c r="DU63" s="149"/>
      <c r="DV63" s="149"/>
      <c r="DW63" s="149"/>
      <c r="DX63" s="149"/>
      <c r="DY63" s="149"/>
      <c r="DZ63" s="149"/>
      <c r="EA63" s="149"/>
      <c r="EB63" s="149"/>
      <c r="EC63" s="149"/>
      <c r="ED63" s="149"/>
      <c r="EE63" s="149"/>
      <c r="EF63" s="149"/>
      <c r="EG63" s="149"/>
      <c r="EH63" s="149"/>
      <c r="EI63" s="149"/>
      <c r="EJ63" s="149"/>
      <c r="EK63" s="149"/>
      <c r="EL63" s="149"/>
      <c r="EM63" s="149"/>
      <c r="EN63" s="149"/>
      <c r="EO63" s="149"/>
      <c r="EP63" s="149"/>
      <c r="EQ63" s="149"/>
      <c r="ER63" s="149"/>
      <c r="ES63" s="149"/>
      <c r="ET63" s="149"/>
      <c r="EU63" s="149"/>
      <c r="EV63" s="149"/>
      <c r="EW63" s="149"/>
      <c r="EX63" s="149"/>
      <c r="EY63" s="149"/>
      <c r="EZ63" s="149"/>
      <c r="FA63" s="149"/>
      <c r="FB63" s="149"/>
      <c r="FC63" s="149"/>
      <c r="FD63" s="149"/>
      <c r="FE63" s="149"/>
      <c r="FF63" s="149"/>
      <c r="FG63" s="149"/>
      <c r="FH63" s="149"/>
      <c r="FI63" s="149"/>
      <c r="FJ63" s="149"/>
      <c r="FK63" s="149"/>
      <c r="FL63" s="149"/>
      <c r="FM63" s="149"/>
      <c r="FN63" s="149"/>
      <c r="FO63" s="149"/>
      <c r="FP63" s="149"/>
      <c r="FQ63" s="149"/>
      <c r="FR63" s="149"/>
      <c r="FS63" s="149"/>
      <c r="FT63" s="149"/>
      <c r="FU63" s="149"/>
      <c r="FV63" s="149"/>
      <c r="FW63" s="149"/>
      <c r="FX63" s="149"/>
      <c r="FY63" s="149"/>
      <c r="FZ63" s="149"/>
      <c r="GA63" s="149"/>
      <c r="GB63" s="149"/>
      <c r="GC63" s="149"/>
      <c r="GD63" s="149"/>
      <c r="GE63" s="149"/>
    </row>
    <row r="64" spans="1:187">
      <c r="A64" s="149"/>
      <c r="B64" s="149"/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51"/>
      <c r="O64" s="149"/>
      <c r="P64" s="149"/>
      <c r="Q64" s="149"/>
      <c r="R64" s="149"/>
      <c r="S64" s="149"/>
      <c r="T64" s="149"/>
      <c r="U64" s="149"/>
      <c r="V64" s="149"/>
      <c r="W64" s="149"/>
      <c r="X64" s="149"/>
      <c r="Y64" s="149"/>
      <c r="Z64" s="149"/>
      <c r="AA64" s="149"/>
      <c r="AB64" s="149"/>
      <c r="AC64" s="149"/>
      <c r="AD64" s="149"/>
      <c r="AE64" s="149"/>
      <c r="AF64" s="149"/>
      <c r="AG64" s="149"/>
      <c r="AH64" s="149"/>
      <c r="AI64" s="149"/>
      <c r="AJ64" s="149"/>
      <c r="AK64" s="149"/>
      <c r="AL64" s="149"/>
      <c r="AM64" s="149"/>
      <c r="AN64" s="149"/>
      <c r="AO64" s="149"/>
      <c r="AP64" s="149"/>
      <c r="AQ64" s="149"/>
      <c r="AR64" s="149"/>
      <c r="AS64" s="149"/>
      <c r="AT64" s="149"/>
      <c r="AU64" s="149"/>
      <c r="AV64" s="149"/>
      <c r="AW64" s="149"/>
      <c r="AX64" s="149"/>
      <c r="AY64" s="149"/>
      <c r="AZ64" s="149"/>
      <c r="BA64" s="149"/>
      <c r="BB64" s="149"/>
      <c r="BC64" s="149"/>
      <c r="BD64" s="149"/>
      <c r="BE64" s="151"/>
      <c r="BF64" s="149"/>
      <c r="BG64" s="149"/>
      <c r="BH64" s="149"/>
      <c r="BI64" s="149"/>
      <c r="BJ64" s="149"/>
      <c r="BK64" s="149"/>
      <c r="BL64" s="149"/>
      <c r="BM64" s="149"/>
      <c r="BN64" s="149"/>
      <c r="BO64" s="149"/>
      <c r="BP64" s="149"/>
      <c r="BQ64" s="149"/>
      <c r="BR64" s="149"/>
      <c r="BS64" s="149"/>
      <c r="BT64" s="149"/>
      <c r="BU64" s="149"/>
      <c r="BV64" s="149"/>
      <c r="BW64" s="149"/>
      <c r="BX64" s="149"/>
      <c r="BY64" s="149"/>
      <c r="BZ64" s="149"/>
      <c r="CA64" s="149"/>
      <c r="CB64" s="149"/>
      <c r="CC64" s="149"/>
      <c r="CD64" s="149"/>
      <c r="CE64" s="149"/>
      <c r="CF64" s="149"/>
      <c r="CG64" s="149"/>
      <c r="CH64" s="149"/>
      <c r="CI64" s="149"/>
      <c r="CJ64" s="149"/>
      <c r="CK64" s="149"/>
      <c r="CL64" s="149"/>
      <c r="CM64" s="149"/>
      <c r="CN64" s="149"/>
      <c r="CO64" s="149"/>
      <c r="CP64" s="149"/>
      <c r="CQ64" s="149"/>
      <c r="CR64" s="149"/>
      <c r="CS64" s="149"/>
      <c r="CT64" s="149"/>
      <c r="CU64" s="149"/>
      <c r="CV64" s="149"/>
      <c r="CW64" s="149"/>
      <c r="CX64" s="149"/>
      <c r="CY64" s="149"/>
      <c r="CZ64" s="149"/>
      <c r="DA64" s="149"/>
      <c r="DB64" s="149"/>
      <c r="DC64" s="149"/>
      <c r="DD64" s="149"/>
      <c r="DE64" s="149"/>
      <c r="DF64" s="149"/>
      <c r="DG64" s="149"/>
      <c r="DH64" s="149"/>
      <c r="DI64" s="149"/>
      <c r="DJ64" s="149"/>
      <c r="DK64" s="149"/>
      <c r="DL64" s="149"/>
      <c r="DM64" s="149"/>
      <c r="DN64" s="149"/>
      <c r="DO64" s="149"/>
      <c r="DP64" s="149"/>
      <c r="DQ64" s="149"/>
      <c r="DR64" s="149"/>
      <c r="DS64" s="149"/>
      <c r="DT64" s="149"/>
      <c r="DU64" s="149"/>
      <c r="DV64" s="149"/>
      <c r="DW64" s="149"/>
      <c r="DX64" s="149"/>
      <c r="DY64" s="149"/>
      <c r="DZ64" s="149"/>
      <c r="EA64" s="149"/>
      <c r="EB64" s="149"/>
      <c r="EC64" s="149"/>
      <c r="ED64" s="149"/>
      <c r="EE64" s="149"/>
      <c r="EF64" s="149"/>
      <c r="EG64" s="149"/>
      <c r="EH64" s="149"/>
      <c r="EI64" s="149"/>
      <c r="EJ64" s="149"/>
      <c r="EK64" s="149"/>
      <c r="EL64" s="149"/>
      <c r="EM64" s="149"/>
      <c r="EN64" s="149"/>
      <c r="EO64" s="149"/>
      <c r="EP64" s="149"/>
      <c r="EQ64" s="149"/>
      <c r="ER64" s="149"/>
      <c r="ES64" s="149"/>
      <c r="ET64" s="149"/>
      <c r="EU64" s="149"/>
      <c r="EV64" s="149"/>
      <c r="EW64" s="149"/>
      <c r="EX64" s="149"/>
      <c r="EY64" s="149"/>
      <c r="EZ64" s="149"/>
      <c r="FA64" s="149"/>
      <c r="FB64" s="149"/>
      <c r="FC64" s="149"/>
      <c r="FD64" s="149"/>
      <c r="FE64" s="149"/>
      <c r="FF64" s="149"/>
      <c r="FG64" s="149"/>
      <c r="FH64" s="149"/>
      <c r="FI64" s="149"/>
      <c r="FJ64" s="149"/>
      <c r="FK64" s="149"/>
      <c r="FL64" s="149"/>
      <c r="FM64" s="149"/>
      <c r="FN64" s="149"/>
      <c r="FO64" s="149"/>
      <c r="FP64" s="149"/>
      <c r="FQ64" s="149"/>
      <c r="FR64" s="149"/>
      <c r="FS64" s="149"/>
      <c r="FT64" s="149"/>
      <c r="FU64" s="149"/>
      <c r="FV64" s="149"/>
      <c r="FW64" s="149"/>
      <c r="FX64" s="149"/>
      <c r="FY64" s="149"/>
      <c r="FZ64" s="149"/>
      <c r="GA64" s="149"/>
      <c r="GB64" s="149"/>
      <c r="GC64" s="149"/>
      <c r="GD64" s="149"/>
      <c r="GE64" s="149"/>
    </row>
    <row r="65" spans="1:187">
      <c r="A65" s="149"/>
      <c r="B65" s="149"/>
      <c r="C65" s="149"/>
      <c r="D65" s="149"/>
      <c r="E65" s="149"/>
      <c r="F65" s="149"/>
      <c r="G65" s="149"/>
      <c r="H65" s="149"/>
      <c r="I65" s="149"/>
      <c r="J65" s="149"/>
      <c r="K65" s="149"/>
      <c r="L65" s="149"/>
      <c r="M65" s="149"/>
      <c r="N65" s="151"/>
      <c r="O65" s="149"/>
      <c r="P65" s="149"/>
      <c r="Q65" s="149"/>
      <c r="R65" s="149"/>
      <c r="S65" s="149"/>
      <c r="T65" s="149"/>
      <c r="U65" s="149"/>
      <c r="V65" s="149"/>
      <c r="W65" s="149"/>
      <c r="X65" s="149"/>
      <c r="Y65" s="149"/>
      <c r="Z65" s="149"/>
      <c r="AA65" s="149"/>
      <c r="AB65" s="149"/>
      <c r="AC65" s="149"/>
      <c r="AD65" s="149"/>
      <c r="AE65" s="149"/>
      <c r="AF65" s="149"/>
      <c r="AG65" s="149"/>
      <c r="AH65" s="149"/>
      <c r="AI65" s="149"/>
      <c r="AJ65" s="149"/>
      <c r="AK65" s="149"/>
      <c r="AL65" s="149"/>
      <c r="AM65" s="149"/>
      <c r="AN65" s="149"/>
      <c r="AO65" s="149"/>
      <c r="AP65" s="149"/>
      <c r="AQ65" s="149"/>
      <c r="AR65" s="149"/>
      <c r="AS65" s="149"/>
      <c r="AT65" s="149"/>
      <c r="AU65" s="149"/>
      <c r="AV65" s="149"/>
      <c r="AW65" s="149"/>
      <c r="AX65" s="149"/>
      <c r="AY65" s="149"/>
      <c r="AZ65" s="149"/>
      <c r="BA65" s="149"/>
      <c r="BB65" s="149"/>
      <c r="BC65" s="149"/>
      <c r="BD65" s="149"/>
      <c r="BE65" s="151"/>
      <c r="BF65" s="149"/>
      <c r="BG65" s="149"/>
      <c r="BH65" s="149"/>
      <c r="BI65" s="149"/>
      <c r="BJ65" s="149"/>
      <c r="BK65" s="149"/>
      <c r="BL65" s="149"/>
      <c r="BM65" s="149"/>
      <c r="BN65" s="149"/>
      <c r="BO65" s="149"/>
      <c r="BP65" s="149"/>
      <c r="BQ65" s="149"/>
      <c r="BR65" s="149"/>
      <c r="BS65" s="149"/>
      <c r="BT65" s="149"/>
      <c r="BU65" s="149"/>
      <c r="BV65" s="149"/>
      <c r="BW65" s="149"/>
      <c r="BX65" s="149"/>
      <c r="BY65" s="149"/>
      <c r="BZ65" s="149"/>
      <c r="CA65" s="149"/>
      <c r="CB65" s="149"/>
      <c r="CC65" s="149"/>
      <c r="CD65" s="149"/>
      <c r="CE65" s="149"/>
      <c r="CF65" s="149"/>
      <c r="CG65" s="149"/>
      <c r="CH65" s="149"/>
      <c r="CI65" s="149"/>
      <c r="CJ65" s="149"/>
      <c r="CK65" s="149"/>
      <c r="CL65" s="149"/>
      <c r="CM65" s="149"/>
      <c r="CN65" s="149"/>
      <c r="CO65" s="149"/>
      <c r="CP65" s="149"/>
      <c r="CQ65" s="149"/>
      <c r="CR65" s="149"/>
      <c r="CS65" s="149"/>
      <c r="CT65" s="149"/>
      <c r="CU65" s="149"/>
      <c r="CV65" s="149"/>
      <c r="CW65" s="149"/>
      <c r="CX65" s="149"/>
      <c r="CY65" s="149"/>
      <c r="CZ65" s="149"/>
      <c r="DA65" s="149"/>
      <c r="DB65" s="149"/>
      <c r="DC65" s="149"/>
      <c r="DD65" s="149"/>
      <c r="DE65" s="149"/>
      <c r="DF65" s="149"/>
      <c r="DG65" s="149"/>
      <c r="DH65" s="149"/>
      <c r="DI65" s="149"/>
      <c r="DJ65" s="149"/>
      <c r="DK65" s="149"/>
      <c r="DL65" s="149"/>
      <c r="DM65" s="149"/>
      <c r="DN65" s="149"/>
      <c r="DO65" s="149"/>
      <c r="DP65" s="149"/>
      <c r="DQ65" s="149"/>
      <c r="DR65" s="149"/>
      <c r="DS65" s="149"/>
      <c r="DT65" s="149"/>
      <c r="DU65" s="149"/>
      <c r="DV65" s="149"/>
      <c r="DW65" s="149"/>
      <c r="DX65" s="149"/>
      <c r="DY65" s="149"/>
      <c r="DZ65" s="149"/>
      <c r="EA65" s="149"/>
      <c r="EB65" s="149"/>
      <c r="EC65" s="149"/>
      <c r="ED65" s="149"/>
      <c r="EE65" s="149"/>
      <c r="EF65" s="149"/>
      <c r="EG65" s="149"/>
      <c r="EH65" s="149"/>
      <c r="EI65" s="149"/>
      <c r="EJ65" s="149"/>
      <c r="EK65" s="149"/>
      <c r="EL65" s="149"/>
      <c r="EM65" s="149"/>
      <c r="EN65" s="149"/>
      <c r="EO65" s="149"/>
      <c r="EP65" s="149"/>
      <c r="EQ65" s="149"/>
      <c r="ER65" s="149"/>
      <c r="ES65" s="149"/>
      <c r="ET65" s="149"/>
      <c r="EU65" s="149"/>
      <c r="EV65" s="149"/>
      <c r="EW65" s="149"/>
      <c r="EX65" s="149"/>
      <c r="EY65" s="149"/>
      <c r="EZ65" s="149"/>
      <c r="FA65" s="149"/>
      <c r="FB65" s="149"/>
      <c r="FC65" s="149"/>
      <c r="FD65" s="149"/>
      <c r="FE65" s="149"/>
      <c r="FF65" s="149"/>
      <c r="FG65" s="149"/>
      <c r="FH65" s="149"/>
      <c r="FI65" s="149"/>
      <c r="FJ65" s="149"/>
      <c r="FK65" s="149"/>
      <c r="FL65" s="149"/>
      <c r="FM65" s="149"/>
      <c r="FN65" s="149"/>
      <c r="FO65" s="149"/>
      <c r="FP65" s="149"/>
      <c r="FQ65" s="149"/>
      <c r="FR65" s="149"/>
      <c r="FS65" s="149"/>
      <c r="FT65" s="149"/>
      <c r="FU65" s="149"/>
      <c r="FV65" s="149"/>
      <c r="FW65" s="149"/>
      <c r="FX65" s="149"/>
      <c r="FY65" s="149"/>
      <c r="FZ65" s="149"/>
      <c r="GA65" s="149"/>
      <c r="GB65" s="149"/>
      <c r="GC65" s="149"/>
      <c r="GD65" s="149"/>
      <c r="GE65" s="149"/>
    </row>
    <row r="66" spans="1:187">
      <c r="A66" s="149"/>
      <c r="B66" s="149"/>
      <c r="C66" s="149"/>
      <c r="D66" s="149"/>
      <c r="E66" s="149"/>
      <c r="F66" s="149"/>
      <c r="G66" s="149"/>
      <c r="H66" s="149"/>
      <c r="I66" s="149"/>
      <c r="J66" s="149"/>
      <c r="K66" s="149"/>
      <c r="L66" s="149"/>
      <c r="M66" s="149"/>
      <c r="N66" s="151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49"/>
      <c r="AD66" s="149"/>
      <c r="AE66" s="149"/>
      <c r="AF66" s="149"/>
      <c r="AG66" s="149"/>
      <c r="AH66" s="149"/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49"/>
      <c r="BA66" s="149"/>
      <c r="BB66" s="149"/>
      <c r="BC66" s="149"/>
      <c r="BD66" s="149"/>
      <c r="BE66" s="151"/>
      <c r="BF66" s="149"/>
      <c r="BG66" s="149"/>
      <c r="BH66" s="149"/>
      <c r="BI66" s="149"/>
      <c r="BJ66" s="149"/>
      <c r="BK66" s="149"/>
      <c r="BL66" s="149"/>
      <c r="BM66" s="149"/>
      <c r="BN66" s="149"/>
      <c r="BO66" s="149"/>
      <c r="BP66" s="149"/>
      <c r="BQ66" s="149"/>
      <c r="BR66" s="149"/>
      <c r="BS66" s="149"/>
      <c r="BT66" s="149"/>
      <c r="BU66" s="149"/>
      <c r="BV66" s="149"/>
      <c r="BW66" s="149"/>
      <c r="BX66" s="149"/>
      <c r="BY66" s="149"/>
      <c r="BZ66" s="149"/>
      <c r="CA66" s="149"/>
      <c r="CB66" s="149"/>
      <c r="CC66" s="149"/>
      <c r="CD66" s="149"/>
      <c r="CE66" s="149"/>
      <c r="CF66" s="149"/>
      <c r="CG66" s="149"/>
      <c r="CH66" s="149"/>
      <c r="CI66" s="149"/>
      <c r="CJ66" s="149"/>
      <c r="CK66" s="149"/>
      <c r="CL66" s="149"/>
      <c r="CM66" s="149"/>
      <c r="CN66" s="149"/>
      <c r="CO66" s="149"/>
      <c r="CP66" s="149"/>
      <c r="CQ66" s="149"/>
      <c r="CR66" s="149"/>
      <c r="CS66" s="149"/>
      <c r="CT66" s="149"/>
      <c r="CU66" s="149"/>
      <c r="CV66" s="149"/>
      <c r="CW66" s="149"/>
      <c r="CX66" s="149"/>
      <c r="CY66" s="149"/>
      <c r="CZ66" s="149"/>
      <c r="DA66" s="149"/>
      <c r="DB66" s="149"/>
      <c r="DC66" s="149"/>
      <c r="DD66" s="149"/>
      <c r="DE66" s="149"/>
      <c r="DF66" s="149"/>
      <c r="DG66" s="149"/>
      <c r="DH66" s="149"/>
      <c r="DI66" s="149"/>
      <c r="DJ66" s="149"/>
      <c r="DK66" s="149"/>
      <c r="DL66" s="149"/>
      <c r="DM66" s="149"/>
      <c r="DN66" s="149"/>
      <c r="DO66" s="149"/>
      <c r="DP66" s="149"/>
      <c r="DQ66" s="149"/>
      <c r="DR66" s="149"/>
      <c r="DS66" s="149"/>
      <c r="DT66" s="149"/>
      <c r="DU66" s="149"/>
      <c r="DV66" s="149"/>
      <c r="DW66" s="149"/>
      <c r="DX66" s="149"/>
      <c r="DY66" s="149"/>
      <c r="DZ66" s="149"/>
      <c r="EA66" s="149"/>
      <c r="EB66" s="149"/>
      <c r="EC66" s="149"/>
      <c r="ED66" s="149"/>
      <c r="EE66" s="149"/>
      <c r="EF66" s="149"/>
      <c r="EG66" s="149"/>
      <c r="EH66" s="149"/>
      <c r="EI66" s="149"/>
      <c r="EJ66" s="149"/>
      <c r="EK66" s="149"/>
      <c r="EL66" s="149"/>
      <c r="EM66" s="149"/>
      <c r="EN66" s="149"/>
      <c r="EO66" s="149"/>
      <c r="EP66" s="149"/>
      <c r="EQ66" s="149"/>
      <c r="ER66" s="149"/>
      <c r="ES66" s="149"/>
      <c r="ET66" s="149"/>
      <c r="EU66" s="149"/>
      <c r="EV66" s="149"/>
      <c r="EW66" s="149"/>
      <c r="EX66" s="149"/>
      <c r="EY66" s="149"/>
      <c r="EZ66" s="149"/>
      <c r="FA66" s="149"/>
      <c r="FB66" s="149"/>
      <c r="FC66" s="149"/>
      <c r="FD66" s="149"/>
      <c r="FE66" s="149"/>
      <c r="FF66" s="149"/>
      <c r="FG66" s="149"/>
      <c r="FH66" s="149"/>
      <c r="FI66" s="149"/>
      <c r="FJ66" s="149"/>
      <c r="FK66" s="149"/>
      <c r="FL66" s="149"/>
      <c r="FM66" s="149"/>
      <c r="FN66" s="149"/>
      <c r="FO66" s="149"/>
      <c r="FP66" s="149"/>
      <c r="FQ66" s="149"/>
      <c r="FR66" s="149"/>
      <c r="FS66" s="149"/>
      <c r="FT66" s="149"/>
      <c r="FU66" s="149"/>
      <c r="FV66" s="149"/>
      <c r="FW66" s="149"/>
      <c r="FX66" s="149"/>
      <c r="FY66" s="149"/>
      <c r="FZ66" s="149"/>
      <c r="GA66" s="149"/>
      <c r="GB66" s="149"/>
      <c r="GC66" s="149"/>
      <c r="GD66" s="149"/>
      <c r="GE66" s="149"/>
    </row>
    <row r="67" spans="1:187">
      <c r="A67" s="149"/>
      <c r="B67" s="149"/>
      <c r="C67" s="149"/>
      <c r="D67" s="149"/>
      <c r="E67" s="149"/>
      <c r="F67" s="149"/>
      <c r="G67" s="149"/>
      <c r="H67" s="149"/>
      <c r="I67" s="149"/>
      <c r="J67" s="149"/>
      <c r="K67" s="149"/>
      <c r="L67" s="149"/>
      <c r="M67" s="149"/>
      <c r="N67" s="151"/>
      <c r="O67" s="149"/>
      <c r="P67" s="149"/>
      <c r="Q67" s="149"/>
      <c r="R67" s="149"/>
      <c r="S67" s="149"/>
      <c r="T67" s="149"/>
      <c r="U67" s="149"/>
      <c r="V67" s="149"/>
      <c r="W67" s="149"/>
      <c r="X67" s="149"/>
      <c r="Y67" s="149"/>
      <c r="Z67" s="149"/>
      <c r="AA67" s="149"/>
      <c r="AB67" s="149"/>
      <c r="AC67" s="149"/>
      <c r="AD67" s="149"/>
      <c r="AE67" s="149"/>
      <c r="AF67" s="149"/>
      <c r="AG67" s="149"/>
      <c r="AH67" s="149"/>
      <c r="AI67" s="149"/>
      <c r="AJ67" s="149"/>
      <c r="AK67" s="149"/>
      <c r="AL67" s="149"/>
      <c r="AM67" s="149"/>
      <c r="AN67" s="149"/>
      <c r="AO67" s="149"/>
      <c r="AP67" s="149"/>
      <c r="AQ67" s="149"/>
      <c r="AR67" s="149"/>
      <c r="AS67" s="149"/>
      <c r="AT67" s="149"/>
      <c r="AU67" s="149"/>
      <c r="AV67" s="149"/>
      <c r="AW67" s="149"/>
      <c r="AX67" s="149"/>
      <c r="AY67" s="149"/>
      <c r="AZ67" s="149"/>
      <c r="BA67" s="149"/>
      <c r="BB67" s="149"/>
      <c r="BC67" s="149"/>
      <c r="BD67" s="149"/>
      <c r="BE67" s="151"/>
      <c r="BF67" s="149"/>
      <c r="BG67" s="149"/>
      <c r="BH67" s="149"/>
      <c r="BI67" s="149"/>
      <c r="BJ67" s="149"/>
      <c r="BK67" s="149"/>
      <c r="BL67" s="149"/>
      <c r="BM67" s="149"/>
      <c r="BN67" s="149"/>
      <c r="BO67" s="149"/>
      <c r="BP67" s="149"/>
      <c r="BQ67" s="149"/>
      <c r="BR67" s="149"/>
      <c r="BS67" s="149"/>
      <c r="BT67" s="149"/>
      <c r="BU67" s="149"/>
      <c r="BV67" s="149"/>
      <c r="BW67" s="149"/>
      <c r="BX67" s="149"/>
      <c r="BY67" s="149"/>
      <c r="BZ67" s="149"/>
      <c r="CA67" s="149"/>
      <c r="CB67" s="149"/>
      <c r="CC67" s="149"/>
      <c r="CD67" s="149"/>
      <c r="CE67" s="149"/>
      <c r="CF67" s="149"/>
      <c r="CG67" s="149"/>
      <c r="CH67" s="149"/>
      <c r="CI67" s="149"/>
      <c r="CJ67" s="149"/>
      <c r="CK67" s="149"/>
      <c r="CL67" s="149"/>
      <c r="CM67" s="149"/>
      <c r="CN67" s="149"/>
      <c r="CO67" s="149"/>
      <c r="CP67" s="149"/>
      <c r="CQ67" s="149"/>
      <c r="CR67" s="149"/>
      <c r="CS67" s="149"/>
      <c r="CT67" s="149"/>
      <c r="CU67" s="149"/>
      <c r="CV67" s="149"/>
      <c r="CW67" s="149"/>
      <c r="CX67" s="149"/>
      <c r="CY67" s="149"/>
      <c r="CZ67" s="149"/>
      <c r="DA67" s="149"/>
      <c r="DB67" s="149"/>
      <c r="DC67" s="149"/>
      <c r="DD67" s="149"/>
      <c r="DE67" s="149"/>
      <c r="DF67" s="149"/>
      <c r="DG67" s="149"/>
      <c r="DH67" s="149"/>
      <c r="DI67" s="149"/>
      <c r="DJ67" s="149"/>
      <c r="DK67" s="149"/>
      <c r="DL67" s="149"/>
      <c r="DM67" s="149"/>
      <c r="DN67" s="149"/>
      <c r="DO67" s="149"/>
      <c r="DP67" s="149"/>
      <c r="DQ67" s="149"/>
      <c r="DR67" s="149"/>
      <c r="DS67" s="149"/>
      <c r="DT67" s="149"/>
      <c r="DU67" s="149"/>
      <c r="DV67" s="149"/>
      <c r="DW67" s="149"/>
      <c r="DX67" s="149"/>
      <c r="DY67" s="149"/>
      <c r="DZ67" s="149"/>
      <c r="EA67" s="149"/>
      <c r="EB67" s="149"/>
      <c r="EC67" s="149"/>
      <c r="ED67" s="149"/>
      <c r="EE67" s="149"/>
      <c r="EF67" s="149"/>
      <c r="EG67" s="149"/>
      <c r="EH67" s="149"/>
      <c r="EI67" s="149"/>
      <c r="EJ67" s="149"/>
      <c r="EK67" s="149"/>
      <c r="EL67" s="149"/>
      <c r="EM67" s="149"/>
      <c r="EN67" s="149"/>
      <c r="EO67" s="149"/>
      <c r="EP67" s="149"/>
      <c r="EQ67" s="149"/>
      <c r="ER67" s="149"/>
      <c r="ES67" s="149"/>
      <c r="ET67" s="149"/>
      <c r="EU67" s="149"/>
      <c r="EV67" s="149"/>
      <c r="EW67" s="149"/>
      <c r="EX67" s="149"/>
      <c r="EY67" s="149"/>
      <c r="EZ67" s="149"/>
      <c r="FA67" s="149"/>
      <c r="FB67" s="149"/>
      <c r="FC67" s="149"/>
      <c r="FD67" s="149"/>
      <c r="FE67" s="149"/>
      <c r="FF67" s="149"/>
      <c r="FG67" s="149"/>
      <c r="FH67" s="149"/>
      <c r="FI67" s="149"/>
      <c r="FJ67" s="149"/>
      <c r="FK67" s="149"/>
      <c r="FL67" s="149"/>
      <c r="FM67" s="149"/>
      <c r="FN67" s="149"/>
      <c r="FO67" s="149"/>
      <c r="FP67" s="149"/>
      <c r="FQ67" s="149"/>
      <c r="FR67" s="149"/>
      <c r="FS67" s="149"/>
      <c r="FT67" s="149"/>
      <c r="FU67" s="149"/>
      <c r="FV67" s="149"/>
      <c r="FW67" s="149"/>
      <c r="FX67" s="149"/>
      <c r="FY67" s="149"/>
      <c r="FZ67" s="149"/>
      <c r="GA67" s="149"/>
      <c r="GB67" s="149"/>
      <c r="GC67" s="149"/>
      <c r="GD67" s="149"/>
      <c r="GE67" s="149"/>
    </row>
    <row r="68" spans="1:187">
      <c r="A68" s="149"/>
      <c r="B68" s="149"/>
      <c r="C68" s="149"/>
      <c r="D68" s="149"/>
      <c r="E68" s="149"/>
      <c r="F68" s="149"/>
      <c r="G68" s="149"/>
      <c r="H68" s="149"/>
      <c r="I68" s="149"/>
      <c r="J68" s="149"/>
      <c r="K68" s="149"/>
      <c r="L68" s="149"/>
      <c r="M68" s="149"/>
      <c r="N68" s="151"/>
      <c r="O68" s="149"/>
      <c r="P68" s="149"/>
      <c r="Q68" s="149"/>
      <c r="R68" s="149"/>
      <c r="S68" s="149"/>
      <c r="T68" s="149"/>
      <c r="U68" s="149"/>
      <c r="V68" s="149"/>
      <c r="W68" s="149"/>
      <c r="X68" s="149"/>
      <c r="Y68" s="149"/>
      <c r="Z68" s="149"/>
      <c r="AA68" s="149"/>
      <c r="AB68" s="149"/>
      <c r="AC68" s="149"/>
      <c r="AD68" s="149"/>
      <c r="AE68" s="149"/>
      <c r="AF68" s="149"/>
      <c r="AG68" s="149"/>
      <c r="AH68" s="149"/>
      <c r="AI68" s="149"/>
      <c r="AJ68" s="149"/>
      <c r="AK68" s="149"/>
      <c r="AL68" s="149"/>
      <c r="AM68" s="149"/>
      <c r="AN68" s="149"/>
      <c r="AO68" s="149"/>
      <c r="AP68" s="149"/>
      <c r="AQ68" s="149"/>
      <c r="AR68" s="149"/>
      <c r="AS68" s="149"/>
      <c r="AT68" s="149"/>
      <c r="AU68" s="149"/>
      <c r="AV68" s="149"/>
      <c r="AW68" s="149"/>
      <c r="AX68" s="149"/>
      <c r="AY68" s="149"/>
      <c r="AZ68" s="149"/>
      <c r="BA68" s="149"/>
      <c r="BB68" s="149"/>
      <c r="BC68" s="149"/>
      <c r="BD68" s="149"/>
      <c r="BE68" s="151"/>
      <c r="BF68" s="149"/>
      <c r="BG68" s="149"/>
      <c r="BH68" s="149"/>
      <c r="BI68" s="149"/>
      <c r="BJ68" s="149"/>
      <c r="BK68" s="149"/>
      <c r="BL68" s="149"/>
      <c r="BM68" s="149"/>
      <c r="BN68" s="149"/>
      <c r="BO68" s="149"/>
      <c r="BP68" s="149"/>
      <c r="BQ68" s="149"/>
      <c r="BR68" s="149"/>
      <c r="BS68" s="149"/>
      <c r="BT68" s="149"/>
      <c r="BU68" s="149"/>
      <c r="BV68" s="149"/>
      <c r="BW68" s="149"/>
      <c r="BX68" s="149"/>
      <c r="BY68" s="149"/>
      <c r="BZ68" s="149"/>
      <c r="CA68" s="149"/>
      <c r="CB68" s="149"/>
      <c r="CC68" s="149"/>
      <c r="CD68" s="149"/>
      <c r="CE68" s="149"/>
      <c r="CF68" s="149"/>
      <c r="CG68" s="149"/>
      <c r="CH68" s="149"/>
      <c r="CI68" s="149"/>
      <c r="CJ68" s="149"/>
      <c r="CK68" s="149"/>
      <c r="CL68" s="149"/>
      <c r="CM68" s="149"/>
      <c r="CN68" s="149"/>
      <c r="CO68" s="149"/>
      <c r="CP68" s="149"/>
      <c r="CQ68" s="149"/>
      <c r="CR68" s="149"/>
      <c r="CS68" s="149"/>
      <c r="CT68" s="149"/>
      <c r="CU68" s="149"/>
      <c r="CV68" s="149"/>
      <c r="CW68" s="149"/>
      <c r="CX68" s="149"/>
      <c r="CY68" s="149"/>
      <c r="CZ68" s="149"/>
      <c r="DA68" s="149"/>
      <c r="DB68" s="149"/>
      <c r="DC68" s="149"/>
      <c r="DD68" s="149"/>
      <c r="DE68" s="149"/>
      <c r="DF68" s="149"/>
      <c r="DG68" s="149"/>
      <c r="DH68" s="149"/>
      <c r="DI68" s="149"/>
      <c r="DJ68" s="149"/>
      <c r="DK68" s="149"/>
      <c r="DL68" s="149"/>
      <c r="DM68" s="149"/>
      <c r="DN68" s="149"/>
      <c r="DO68" s="149"/>
      <c r="DP68" s="149"/>
      <c r="DQ68" s="149"/>
      <c r="DR68" s="149"/>
      <c r="DS68" s="149"/>
      <c r="DT68" s="149"/>
      <c r="DU68" s="149"/>
      <c r="DV68" s="149"/>
      <c r="DW68" s="149"/>
      <c r="DX68" s="149"/>
      <c r="DY68" s="149"/>
      <c r="DZ68" s="149"/>
      <c r="EA68" s="149"/>
      <c r="EB68" s="149"/>
      <c r="EC68" s="149"/>
      <c r="ED68" s="149"/>
      <c r="EE68" s="149"/>
      <c r="EF68" s="149"/>
      <c r="EG68" s="149"/>
      <c r="EH68" s="149"/>
      <c r="EI68" s="149"/>
      <c r="EJ68" s="149"/>
      <c r="EK68" s="149"/>
      <c r="EL68" s="149"/>
      <c r="EM68" s="149"/>
      <c r="EN68" s="149"/>
      <c r="EO68" s="149"/>
      <c r="EP68" s="149"/>
      <c r="EQ68" s="149"/>
      <c r="ER68" s="149"/>
      <c r="ES68" s="149"/>
      <c r="ET68" s="149"/>
      <c r="EU68" s="149"/>
      <c r="EV68" s="149"/>
      <c r="EW68" s="149"/>
      <c r="EX68" s="149"/>
      <c r="EY68" s="149"/>
      <c r="EZ68" s="149"/>
      <c r="FA68" s="149"/>
      <c r="FB68" s="149"/>
      <c r="FC68" s="149"/>
      <c r="FD68" s="149"/>
      <c r="FE68" s="149"/>
      <c r="FF68" s="149"/>
      <c r="FG68" s="149"/>
      <c r="FH68" s="149"/>
      <c r="FI68" s="149"/>
      <c r="FJ68" s="149"/>
      <c r="FK68" s="149"/>
      <c r="FL68" s="149"/>
      <c r="FM68" s="149"/>
      <c r="FN68" s="149"/>
      <c r="FO68" s="149"/>
      <c r="FP68" s="149"/>
      <c r="FQ68" s="149"/>
      <c r="FR68" s="149"/>
      <c r="FS68" s="149"/>
      <c r="FT68" s="149"/>
      <c r="FU68" s="149"/>
      <c r="FV68" s="149"/>
      <c r="FW68" s="149"/>
      <c r="FX68" s="149"/>
      <c r="FY68" s="149"/>
      <c r="FZ68" s="149"/>
      <c r="GA68" s="149"/>
      <c r="GB68" s="149"/>
      <c r="GC68" s="149"/>
      <c r="GD68" s="149"/>
      <c r="GE68" s="149"/>
    </row>
    <row r="69" spans="1:187">
      <c r="A69" s="149"/>
      <c r="B69" s="149"/>
      <c r="C69" s="149"/>
      <c r="D69" s="149"/>
      <c r="E69" s="149"/>
      <c r="F69" s="149"/>
      <c r="G69" s="149"/>
      <c r="H69" s="149"/>
      <c r="I69" s="149"/>
      <c r="J69" s="149"/>
      <c r="K69" s="149"/>
      <c r="L69" s="149"/>
      <c r="M69" s="149"/>
      <c r="N69" s="151"/>
      <c r="O69" s="149"/>
      <c r="P69" s="149"/>
      <c r="Q69" s="149"/>
      <c r="R69" s="149"/>
      <c r="S69" s="149"/>
      <c r="T69" s="149"/>
      <c r="U69" s="149"/>
      <c r="V69" s="149"/>
      <c r="W69" s="149"/>
      <c r="X69" s="149"/>
      <c r="Y69" s="149"/>
      <c r="Z69" s="149"/>
      <c r="AA69" s="149"/>
      <c r="AB69" s="149"/>
      <c r="AC69" s="149"/>
      <c r="AD69" s="149"/>
      <c r="AE69" s="149"/>
      <c r="AF69" s="149"/>
      <c r="AG69" s="149"/>
      <c r="AH69" s="149"/>
      <c r="AI69" s="149"/>
      <c r="AJ69" s="149"/>
      <c r="AK69" s="149"/>
      <c r="AL69" s="149"/>
      <c r="AM69" s="149"/>
      <c r="AN69" s="149"/>
      <c r="AO69" s="149"/>
      <c r="AP69" s="149"/>
      <c r="AQ69" s="149"/>
      <c r="AR69" s="149"/>
      <c r="AS69" s="149"/>
      <c r="AT69" s="149"/>
      <c r="AU69" s="149"/>
      <c r="AV69" s="149"/>
      <c r="AW69" s="149"/>
      <c r="AX69" s="149"/>
      <c r="AY69" s="149"/>
      <c r="AZ69" s="149"/>
      <c r="BA69" s="149"/>
      <c r="BB69" s="149"/>
      <c r="BC69" s="149"/>
      <c r="BD69" s="149"/>
      <c r="BE69" s="151"/>
      <c r="BF69" s="149"/>
      <c r="BG69" s="149"/>
      <c r="BH69" s="149"/>
      <c r="BI69" s="149"/>
      <c r="BJ69" s="149"/>
      <c r="BK69" s="149"/>
      <c r="BL69" s="149"/>
      <c r="BM69" s="149"/>
      <c r="BN69" s="149"/>
      <c r="BO69" s="149"/>
      <c r="BP69" s="149"/>
      <c r="BQ69" s="149"/>
      <c r="BR69" s="149"/>
      <c r="BS69" s="149"/>
      <c r="BT69" s="149"/>
      <c r="BU69" s="149"/>
      <c r="BV69" s="149"/>
      <c r="BW69" s="149"/>
      <c r="BX69" s="149"/>
      <c r="BY69" s="149"/>
      <c r="BZ69" s="149"/>
      <c r="CA69" s="149"/>
      <c r="CB69" s="149"/>
      <c r="CC69" s="149"/>
      <c r="CD69" s="149"/>
      <c r="CE69" s="149"/>
      <c r="CF69" s="149"/>
      <c r="CG69" s="149"/>
      <c r="CH69" s="149"/>
      <c r="CI69" s="149"/>
      <c r="CJ69" s="149"/>
      <c r="CK69" s="149"/>
      <c r="CL69" s="149"/>
      <c r="CM69" s="149"/>
      <c r="CN69" s="149"/>
      <c r="CO69" s="149"/>
      <c r="CP69" s="149"/>
      <c r="CQ69" s="149"/>
      <c r="CR69" s="149"/>
      <c r="CS69" s="149"/>
      <c r="CT69" s="149"/>
      <c r="CU69" s="149"/>
      <c r="CV69" s="149"/>
      <c r="CW69" s="149"/>
      <c r="CX69" s="149"/>
      <c r="CY69" s="149"/>
      <c r="CZ69" s="149"/>
      <c r="DA69" s="149"/>
      <c r="DB69" s="149"/>
      <c r="DC69" s="149"/>
      <c r="DD69" s="149"/>
      <c r="DE69" s="149"/>
      <c r="DF69" s="149"/>
      <c r="DG69" s="149"/>
      <c r="DH69" s="149"/>
      <c r="DI69" s="149"/>
      <c r="DJ69" s="149"/>
      <c r="DK69" s="149"/>
      <c r="DL69" s="149"/>
      <c r="DM69" s="149"/>
      <c r="DN69" s="149"/>
      <c r="DO69" s="149"/>
      <c r="DP69" s="149"/>
      <c r="DQ69" s="149"/>
      <c r="DR69" s="149"/>
      <c r="DS69" s="149"/>
      <c r="DT69" s="149"/>
      <c r="DU69" s="149"/>
      <c r="DV69" s="149"/>
      <c r="DW69" s="149"/>
      <c r="DX69" s="149"/>
      <c r="DY69" s="149"/>
      <c r="DZ69" s="149"/>
      <c r="EA69" s="149"/>
      <c r="EB69" s="149"/>
      <c r="EC69" s="149"/>
      <c r="ED69" s="149"/>
      <c r="EE69" s="149"/>
      <c r="EF69" s="149"/>
      <c r="EG69" s="149"/>
      <c r="EH69" s="149"/>
      <c r="EI69" s="149"/>
      <c r="EJ69" s="149"/>
      <c r="EK69" s="149"/>
      <c r="EL69" s="149"/>
      <c r="EM69" s="149"/>
      <c r="EN69" s="149"/>
      <c r="EO69" s="149"/>
      <c r="EP69" s="149"/>
      <c r="EQ69" s="149"/>
      <c r="ER69" s="149"/>
      <c r="ES69" s="149"/>
      <c r="ET69" s="149"/>
      <c r="EU69" s="149"/>
      <c r="EV69" s="149"/>
      <c r="EW69" s="149"/>
      <c r="EX69" s="149"/>
      <c r="EY69" s="149"/>
      <c r="EZ69" s="149"/>
      <c r="FA69" s="149"/>
      <c r="FB69" s="149"/>
      <c r="FC69" s="149"/>
      <c r="FD69" s="149"/>
      <c r="FE69" s="149"/>
      <c r="FF69" s="149"/>
      <c r="FG69" s="149"/>
      <c r="FH69" s="149"/>
      <c r="FI69" s="149"/>
      <c r="FJ69" s="149"/>
      <c r="FK69" s="149"/>
      <c r="FL69" s="149"/>
      <c r="FM69" s="149"/>
      <c r="FN69" s="149"/>
      <c r="FO69" s="149"/>
      <c r="FP69" s="149"/>
      <c r="FQ69" s="149"/>
      <c r="FR69" s="149"/>
      <c r="FS69" s="149"/>
      <c r="FT69" s="149"/>
      <c r="FU69" s="149"/>
      <c r="FV69" s="149"/>
      <c r="FW69" s="149"/>
      <c r="FX69" s="149"/>
      <c r="FY69" s="149"/>
      <c r="FZ69" s="149"/>
      <c r="GA69" s="149"/>
      <c r="GB69" s="149"/>
      <c r="GC69" s="149"/>
      <c r="GD69" s="149"/>
      <c r="GE69" s="149"/>
    </row>
    <row r="70" spans="1:187">
      <c r="A70" s="149"/>
      <c r="B70" s="149"/>
      <c r="C70" s="149"/>
      <c r="D70" s="149"/>
      <c r="E70" s="149"/>
      <c r="F70" s="149"/>
      <c r="G70" s="149"/>
      <c r="H70" s="149"/>
      <c r="I70" s="149"/>
      <c r="J70" s="149"/>
      <c r="K70" s="149"/>
      <c r="L70" s="149"/>
      <c r="M70" s="149"/>
      <c r="N70" s="151"/>
      <c r="O70" s="149"/>
      <c r="P70" s="149"/>
      <c r="Q70" s="149"/>
      <c r="R70" s="149"/>
      <c r="S70" s="149"/>
      <c r="T70" s="149"/>
      <c r="U70" s="149"/>
      <c r="V70" s="149"/>
      <c r="W70" s="149"/>
      <c r="X70" s="149"/>
      <c r="Y70" s="149"/>
      <c r="Z70" s="149"/>
      <c r="AA70" s="149"/>
      <c r="AB70" s="149"/>
      <c r="AC70" s="149"/>
      <c r="AD70" s="149"/>
      <c r="AE70" s="149"/>
      <c r="AF70" s="149"/>
      <c r="AG70" s="149"/>
      <c r="AH70" s="149"/>
      <c r="AI70" s="149"/>
      <c r="AJ70" s="149"/>
      <c r="AK70" s="149"/>
      <c r="AL70" s="149"/>
      <c r="AM70" s="149"/>
      <c r="AN70" s="149"/>
      <c r="AO70" s="149"/>
      <c r="AP70" s="149"/>
      <c r="AQ70" s="149"/>
      <c r="AR70" s="149"/>
      <c r="AS70" s="149"/>
      <c r="AT70" s="149"/>
      <c r="AU70" s="149"/>
      <c r="AV70" s="149"/>
      <c r="AW70" s="149"/>
      <c r="AX70" s="149"/>
      <c r="AY70" s="149"/>
      <c r="AZ70" s="149"/>
      <c r="BA70" s="149"/>
      <c r="BB70" s="149"/>
      <c r="BC70" s="149"/>
      <c r="BD70" s="149"/>
      <c r="BE70" s="151"/>
      <c r="BF70" s="149"/>
      <c r="BG70" s="149"/>
      <c r="BH70" s="149"/>
      <c r="BI70" s="149"/>
      <c r="BJ70" s="149"/>
      <c r="BK70" s="149"/>
      <c r="BL70" s="149"/>
      <c r="BM70" s="149"/>
      <c r="BN70" s="149"/>
      <c r="BO70" s="149"/>
      <c r="BP70" s="149"/>
      <c r="BQ70" s="149"/>
      <c r="BR70" s="149"/>
      <c r="BS70" s="149"/>
      <c r="BT70" s="149"/>
      <c r="BU70" s="149"/>
      <c r="BV70" s="149"/>
      <c r="BW70" s="149"/>
      <c r="BX70" s="149"/>
      <c r="BY70" s="149"/>
      <c r="BZ70" s="149"/>
      <c r="CA70" s="149"/>
      <c r="CB70" s="149"/>
      <c r="CC70" s="149"/>
      <c r="CD70" s="149"/>
      <c r="CE70" s="149"/>
      <c r="CF70" s="149"/>
      <c r="CG70" s="149"/>
      <c r="CH70" s="149"/>
      <c r="CI70" s="149"/>
      <c r="CJ70" s="149"/>
      <c r="CK70" s="149"/>
      <c r="CL70" s="149"/>
      <c r="CM70" s="149"/>
      <c r="CN70" s="149"/>
      <c r="CO70" s="149"/>
      <c r="CP70" s="149"/>
      <c r="CQ70" s="149"/>
      <c r="CR70" s="149"/>
      <c r="CS70" s="149"/>
      <c r="CT70" s="149"/>
      <c r="CU70" s="149"/>
      <c r="CV70" s="149"/>
      <c r="CW70" s="149"/>
      <c r="CX70" s="149"/>
      <c r="CY70" s="149"/>
      <c r="CZ70" s="149"/>
      <c r="DA70" s="149"/>
      <c r="DB70" s="149"/>
      <c r="DC70" s="149"/>
      <c r="DD70" s="149"/>
      <c r="DE70" s="149"/>
      <c r="DF70" s="149"/>
      <c r="DG70" s="149"/>
      <c r="DH70" s="149"/>
      <c r="DI70" s="149"/>
      <c r="DJ70" s="149"/>
      <c r="DK70" s="149"/>
      <c r="DL70" s="149"/>
      <c r="DM70" s="149"/>
      <c r="DN70" s="149"/>
      <c r="DO70" s="149"/>
      <c r="DP70" s="149"/>
      <c r="DQ70" s="149"/>
      <c r="DR70" s="149"/>
      <c r="DS70" s="149"/>
      <c r="DT70" s="149"/>
      <c r="DU70" s="149"/>
      <c r="DV70" s="149"/>
      <c r="DW70" s="149"/>
      <c r="DX70" s="149"/>
      <c r="DY70" s="149"/>
      <c r="DZ70" s="149"/>
      <c r="EA70" s="149"/>
      <c r="EB70" s="149"/>
      <c r="EC70" s="149"/>
      <c r="ED70" s="149"/>
      <c r="EE70" s="149"/>
      <c r="EF70" s="149"/>
      <c r="EG70" s="149"/>
      <c r="EH70" s="149"/>
      <c r="EI70" s="149"/>
      <c r="EJ70" s="149"/>
      <c r="EK70" s="149"/>
      <c r="EL70" s="149"/>
      <c r="EM70" s="149"/>
      <c r="EN70" s="149"/>
      <c r="EO70" s="149"/>
      <c r="EP70" s="149"/>
      <c r="EQ70" s="149"/>
      <c r="ER70" s="149"/>
      <c r="ES70" s="149"/>
      <c r="ET70" s="149"/>
      <c r="EU70" s="149"/>
      <c r="EV70" s="149"/>
      <c r="EW70" s="149"/>
      <c r="EX70" s="149"/>
      <c r="EY70" s="149"/>
      <c r="EZ70" s="149"/>
      <c r="FA70" s="149"/>
      <c r="FB70" s="149"/>
      <c r="FC70" s="149"/>
      <c r="FD70" s="149"/>
      <c r="FE70" s="149"/>
      <c r="FF70" s="149"/>
      <c r="FG70" s="149"/>
      <c r="FH70" s="149"/>
      <c r="FI70" s="149"/>
      <c r="FJ70" s="149"/>
      <c r="FK70" s="149"/>
      <c r="FL70" s="149"/>
      <c r="FM70" s="149"/>
      <c r="FN70" s="149"/>
      <c r="FO70" s="149"/>
      <c r="FP70" s="149"/>
      <c r="FQ70" s="149"/>
      <c r="FR70" s="149"/>
      <c r="FS70" s="149"/>
      <c r="FT70" s="149"/>
      <c r="FU70" s="149"/>
      <c r="FV70" s="149"/>
      <c r="FW70" s="149"/>
      <c r="FX70" s="149"/>
      <c r="FY70" s="149"/>
      <c r="FZ70" s="149"/>
      <c r="GA70" s="149"/>
      <c r="GB70" s="149"/>
      <c r="GC70" s="149"/>
      <c r="GD70" s="149"/>
      <c r="GE70" s="149"/>
    </row>
    <row r="71" spans="1:187">
      <c r="A71" s="149"/>
      <c r="B71" s="149"/>
      <c r="C71" s="149"/>
      <c r="D71" s="149"/>
      <c r="E71" s="149"/>
      <c r="F71" s="149"/>
      <c r="G71" s="149"/>
      <c r="H71" s="149"/>
      <c r="I71" s="149"/>
      <c r="J71" s="149"/>
      <c r="K71" s="149"/>
      <c r="L71" s="149"/>
      <c r="M71" s="149"/>
      <c r="N71" s="151"/>
      <c r="O71" s="149"/>
      <c r="P71" s="149"/>
      <c r="Q71" s="149"/>
      <c r="R71" s="149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49"/>
      <c r="AE71" s="149"/>
      <c r="AF71" s="149"/>
      <c r="AG71" s="149"/>
      <c r="AH71" s="149"/>
      <c r="AI71" s="149"/>
      <c r="AJ71" s="149"/>
      <c r="AK71" s="149"/>
      <c r="AL71" s="149"/>
      <c r="AM71" s="149"/>
      <c r="AN71" s="149"/>
      <c r="AO71" s="149"/>
      <c r="AP71" s="149"/>
      <c r="AQ71" s="149"/>
      <c r="AR71" s="149"/>
      <c r="AS71" s="149"/>
      <c r="AT71" s="149"/>
      <c r="AU71" s="149"/>
      <c r="AV71" s="149"/>
      <c r="AW71" s="149"/>
      <c r="AX71" s="149"/>
      <c r="AY71" s="149"/>
      <c r="AZ71" s="149"/>
      <c r="BA71" s="149"/>
      <c r="BB71" s="149"/>
      <c r="BC71" s="149"/>
      <c r="BD71" s="149"/>
      <c r="BE71" s="151"/>
      <c r="BF71" s="149"/>
      <c r="BG71" s="149"/>
      <c r="BH71" s="149"/>
      <c r="BI71" s="149"/>
      <c r="BJ71" s="149"/>
      <c r="BK71" s="149"/>
      <c r="BL71" s="149"/>
      <c r="BM71" s="149"/>
      <c r="BN71" s="149"/>
      <c r="BO71" s="149"/>
      <c r="BP71" s="149"/>
      <c r="BQ71" s="149"/>
      <c r="BR71" s="149"/>
      <c r="BS71" s="149"/>
      <c r="BT71" s="149"/>
      <c r="BU71" s="149"/>
      <c r="BV71" s="149"/>
      <c r="BW71" s="149"/>
      <c r="BX71" s="149"/>
      <c r="BY71" s="149"/>
      <c r="BZ71" s="149"/>
      <c r="CA71" s="149"/>
      <c r="CB71" s="149"/>
      <c r="CC71" s="149"/>
      <c r="CD71" s="149"/>
      <c r="CE71" s="149"/>
      <c r="CF71" s="149"/>
      <c r="CG71" s="149"/>
      <c r="CH71" s="149"/>
      <c r="CI71" s="149"/>
      <c r="CJ71" s="149"/>
      <c r="CK71" s="149"/>
      <c r="CL71" s="149"/>
      <c r="CM71" s="149"/>
      <c r="CN71" s="149"/>
      <c r="CO71" s="149"/>
      <c r="CP71" s="149"/>
      <c r="CQ71" s="149"/>
      <c r="CR71" s="149"/>
      <c r="CS71" s="149"/>
      <c r="CT71" s="149"/>
      <c r="CU71" s="149"/>
      <c r="CV71" s="149"/>
      <c r="CW71" s="149"/>
      <c r="CX71" s="149"/>
      <c r="CY71" s="149"/>
      <c r="CZ71" s="149"/>
      <c r="DA71" s="149"/>
      <c r="DB71" s="149"/>
      <c r="DC71" s="149"/>
      <c r="DD71" s="149"/>
      <c r="DE71" s="149"/>
      <c r="DF71" s="149"/>
      <c r="DG71" s="149"/>
      <c r="DH71" s="149"/>
      <c r="DI71" s="149"/>
      <c r="DJ71" s="149"/>
      <c r="DK71" s="149"/>
      <c r="DL71" s="149"/>
      <c r="DM71" s="149"/>
      <c r="DN71" s="149"/>
      <c r="DO71" s="149"/>
      <c r="DP71" s="149"/>
      <c r="DQ71" s="149"/>
      <c r="DR71" s="149"/>
      <c r="DS71" s="149"/>
      <c r="DT71" s="149"/>
      <c r="DU71" s="149"/>
      <c r="DV71" s="149"/>
      <c r="DW71" s="149"/>
      <c r="DX71" s="149"/>
      <c r="DY71" s="149"/>
      <c r="DZ71" s="149"/>
      <c r="EA71" s="149"/>
      <c r="EB71" s="149"/>
      <c r="EC71" s="149"/>
      <c r="ED71" s="149"/>
      <c r="EE71" s="149"/>
      <c r="EF71" s="149"/>
      <c r="EG71" s="149"/>
      <c r="EH71" s="149"/>
      <c r="EI71" s="149"/>
      <c r="EJ71" s="149"/>
      <c r="EK71" s="149"/>
      <c r="EL71" s="149"/>
      <c r="EM71" s="149"/>
      <c r="EN71" s="149"/>
      <c r="EO71" s="149"/>
      <c r="EP71" s="149"/>
      <c r="EQ71" s="149"/>
      <c r="ER71" s="149"/>
      <c r="ES71" s="149"/>
      <c r="ET71" s="149"/>
      <c r="EU71" s="149"/>
      <c r="EV71" s="149"/>
      <c r="EW71" s="149"/>
      <c r="EX71" s="149"/>
      <c r="EY71" s="149"/>
      <c r="EZ71" s="149"/>
      <c r="FA71" s="149"/>
      <c r="FB71" s="149"/>
      <c r="FC71" s="149"/>
      <c r="FD71" s="149"/>
      <c r="FE71" s="149"/>
      <c r="FF71" s="149"/>
      <c r="FG71" s="149"/>
      <c r="FH71" s="149"/>
      <c r="FI71" s="149"/>
      <c r="FJ71" s="149"/>
      <c r="FK71" s="149"/>
      <c r="FL71" s="149"/>
      <c r="FM71" s="149"/>
      <c r="FN71" s="149"/>
      <c r="FO71" s="149"/>
      <c r="FP71" s="149"/>
      <c r="FQ71" s="149"/>
      <c r="FR71" s="149"/>
      <c r="FS71" s="149"/>
      <c r="FT71" s="149"/>
      <c r="FU71" s="149"/>
      <c r="FV71" s="149"/>
      <c r="FW71" s="149"/>
      <c r="FX71" s="149"/>
      <c r="FY71" s="149"/>
      <c r="FZ71" s="149"/>
      <c r="GA71" s="149"/>
      <c r="GB71" s="149"/>
      <c r="GC71" s="149"/>
      <c r="GD71" s="149"/>
      <c r="GE71" s="149"/>
    </row>
    <row r="72" spans="1:187">
      <c r="A72" s="149"/>
      <c r="B72" s="149"/>
      <c r="C72" s="149"/>
      <c r="D72" s="149"/>
      <c r="E72" s="149"/>
      <c r="F72" s="149"/>
      <c r="G72" s="149"/>
      <c r="H72" s="149"/>
      <c r="I72" s="149"/>
      <c r="J72" s="149"/>
      <c r="K72" s="149"/>
      <c r="L72" s="149"/>
      <c r="M72" s="149"/>
      <c r="N72" s="151"/>
      <c r="O72" s="149"/>
      <c r="P72" s="149"/>
      <c r="Q72" s="149"/>
      <c r="R72" s="149"/>
      <c r="S72" s="149"/>
      <c r="T72" s="149"/>
      <c r="U72" s="149"/>
      <c r="V72" s="149"/>
      <c r="W72" s="149"/>
      <c r="X72" s="149"/>
      <c r="Y72" s="149"/>
      <c r="Z72" s="149"/>
      <c r="AA72" s="149"/>
      <c r="AB72" s="149"/>
      <c r="AC72" s="149"/>
      <c r="AD72" s="149"/>
      <c r="AE72" s="149"/>
      <c r="AF72" s="149"/>
      <c r="AG72" s="149"/>
      <c r="AH72" s="149"/>
      <c r="AI72" s="149"/>
      <c r="AJ72" s="149"/>
      <c r="AK72" s="149"/>
      <c r="AL72" s="149"/>
      <c r="AM72" s="149"/>
      <c r="AN72" s="149"/>
      <c r="AO72" s="149"/>
      <c r="AP72" s="149"/>
      <c r="AQ72" s="149"/>
      <c r="AR72" s="149"/>
      <c r="AS72" s="149"/>
      <c r="AT72" s="149"/>
      <c r="AU72" s="149"/>
      <c r="AV72" s="149"/>
      <c r="AW72" s="149"/>
      <c r="AX72" s="149"/>
      <c r="AY72" s="149"/>
      <c r="AZ72" s="149"/>
      <c r="BA72" s="149"/>
      <c r="BB72" s="149"/>
      <c r="BC72" s="149"/>
      <c r="BD72" s="149"/>
      <c r="BE72" s="151"/>
      <c r="BF72" s="149"/>
      <c r="BG72" s="149"/>
      <c r="BH72" s="149"/>
      <c r="BI72" s="149"/>
      <c r="BJ72" s="149"/>
      <c r="BK72" s="149"/>
      <c r="BL72" s="149"/>
      <c r="BM72" s="149"/>
      <c r="BN72" s="149"/>
      <c r="BO72" s="149"/>
      <c r="BP72" s="149"/>
      <c r="BQ72" s="149"/>
      <c r="BR72" s="149"/>
      <c r="BS72" s="149"/>
      <c r="BT72" s="149"/>
      <c r="BU72" s="149"/>
      <c r="BV72" s="149"/>
      <c r="BW72" s="149"/>
      <c r="BX72" s="149"/>
      <c r="BY72" s="149"/>
      <c r="BZ72" s="149"/>
      <c r="CA72" s="149"/>
      <c r="CB72" s="149"/>
      <c r="CC72" s="149"/>
      <c r="CD72" s="149"/>
      <c r="CE72" s="149"/>
      <c r="CF72" s="149"/>
      <c r="CG72" s="149"/>
      <c r="CH72" s="149"/>
      <c r="CI72" s="149"/>
      <c r="CJ72" s="149"/>
      <c r="CK72" s="149"/>
      <c r="CL72" s="149"/>
      <c r="CM72" s="149"/>
      <c r="CN72" s="149"/>
      <c r="CO72" s="149"/>
      <c r="CP72" s="149"/>
      <c r="CQ72" s="149"/>
      <c r="CR72" s="149"/>
      <c r="CS72" s="149"/>
      <c r="CT72" s="149"/>
      <c r="CU72" s="149"/>
      <c r="CV72" s="149"/>
      <c r="CW72" s="149"/>
      <c r="CX72" s="149"/>
      <c r="CY72" s="149"/>
      <c r="CZ72" s="149"/>
      <c r="DA72" s="149"/>
      <c r="DB72" s="149"/>
      <c r="DC72" s="149"/>
      <c r="DD72" s="149"/>
      <c r="DE72" s="149"/>
      <c r="DF72" s="149"/>
      <c r="DG72" s="149"/>
      <c r="DH72" s="149"/>
      <c r="DI72" s="149"/>
      <c r="DJ72" s="149"/>
      <c r="DK72" s="149"/>
      <c r="DL72" s="149"/>
      <c r="DM72" s="149"/>
      <c r="DN72" s="149"/>
      <c r="DO72" s="149"/>
      <c r="DP72" s="149"/>
      <c r="DQ72" s="149"/>
      <c r="DR72" s="149"/>
      <c r="DS72" s="149"/>
      <c r="DT72" s="149"/>
      <c r="DU72" s="149"/>
      <c r="DV72" s="149"/>
      <c r="DW72" s="149"/>
      <c r="DX72" s="149"/>
      <c r="DY72" s="149"/>
      <c r="DZ72" s="149"/>
      <c r="EA72" s="149"/>
      <c r="EB72" s="149"/>
      <c r="EC72" s="149"/>
      <c r="ED72" s="149"/>
      <c r="EE72" s="149"/>
      <c r="EF72" s="149"/>
      <c r="EG72" s="149"/>
      <c r="EH72" s="149"/>
      <c r="EI72" s="149"/>
      <c r="EJ72" s="149"/>
      <c r="EK72" s="149"/>
      <c r="EL72" s="149"/>
      <c r="EM72" s="149"/>
      <c r="EN72" s="149"/>
      <c r="EO72" s="149"/>
      <c r="EP72" s="149"/>
      <c r="EQ72" s="149"/>
      <c r="ER72" s="149"/>
      <c r="ES72" s="149"/>
      <c r="ET72" s="149"/>
      <c r="EU72" s="149"/>
      <c r="EV72" s="149"/>
      <c r="EW72" s="149"/>
      <c r="EX72" s="149"/>
      <c r="EY72" s="149"/>
      <c r="EZ72" s="149"/>
      <c r="FA72" s="149"/>
      <c r="FB72" s="149"/>
      <c r="FC72" s="149"/>
      <c r="FD72" s="149"/>
      <c r="FE72" s="149"/>
      <c r="FF72" s="149"/>
      <c r="FG72" s="149"/>
      <c r="FH72" s="149"/>
      <c r="FI72" s="149"/>
      <c r="FJ72" s="149"/>
      <c r="FK72" s="149"/>
      <c r="FL72" s="149"/>
      <c r="FM72" s="149"/>
      <c r="FN72" s="149"/>
      <c r="FO72" s="149"/>
      <c r="FP72" s="149"/>
      <c r="FQ72" s="149"/>
      <c r="FR72" s="149"/>
      <c r="FS72" s="149"/>
      <c r="FT72" s="149"/>
      <c r="FU72" s="149"/>
      <c r="FV72" s="149"/>
      <c r="FW72" s="149"/>
      <c r="FX72" s="149"/>
      <c r="FY72" s="149"/>
      <c r="FZ72" s="149"/>
      <c r="GA72" s="149"/>
      <c r="GB72" s="149"/>
      <c r="GC72" s="149"/>
      <c r="GD72" s="149"/>
      <c r="GE72" s="149"/>
    </row>
    <row r="73" spans="1:187">
      <c r="A73" s="149"/>
      <c r="B73" s="149"/>
      <c r="C73" s="149"/>
      <c r="D73" s="149"/>
      <c r="E73" s="149"/>
      <c r="F73" s="149"/>
      <c r="G73" s="149"/>
      <c r="H73" s="149"/>
      <c r="I73" s="149"/>
      <c r="J73" s="149"/>
      <c r="K73" s="149"/>
      <c r="L73" s="149"/>
      <c r="M73" s="149"/>
      <c r="N73" s="151"/>
      <c r="O73" s="149"/>
      <c r="P73" s="149"/>
      <c r="Q73" s="149"/>
      <c r="R73" s="149"/>
      <c r="S73" s="149"/>
      <c r="T73" s="149"/>
      <c r="U73" s="149"/>
      <c r="V73" s="149"/>
      <c r="W73" s="149"/>
      <c r="X73" s="149"/>
      <c r="Y73" s="149"/>
      <c r="Z73" s="149"/>
      <c r="AA73" s="149"/>
      <c r="AB73" s="149"/>
      <c r="AC73" s="149"/>
      <c r="AD73" s="149"/>
      <c r="AE73" s="149"/>
      <c r="AF73" s="149"/>
      <c r="AG73" s="149"/>
      <c r="AH73" s="149"/>
      <c r="AI73" s="149"/>
      <c r="AJ73" s="149"/>
      <c r="AK73" s="149"/>
      <c r="AL73" s="149"/>
      <c r="AM73" s="149"/>
      <c r="AN73" s="149"/>
      <c r="AO73" s="149"/>
      <c r="AP73" s="149"/>
      <c r="AQ73" s="149"/>
      <c r="AR73" s="149"/>
      <c r="AS73" s="149"/>
      <c r="AT73" s="149"/>
      <c r="AU73" s="149"/>
      <c r="AV73" s="149"/>
      <c r="AW73" s="149"/>
      <c r="AX73" s="149"/>
      <c r="AY73" s="149"/>
      <c r="AZ73" s="149"/>
      <c r="BA73" s="149"/>
      <c r="BB73" s="149"/>
      <c r="BC73" s="149"/>
      <c r="BD73" s="149"/>
      <c r="BE73" s="151"/>
      <c r="BF73" s="149"/>
      <c r="BG73" s="149"/>
      <c r="BH73" s="149"/>
      <c r="BI73" s="149"/>
      <c r="BJ73" s="149"/>
      <c r="BK73" s="149"/>
      <c r="BL73" s="149"/>
      <c r="BM73" s="149"/>
      <c r="BN73" s="149"/>
      <c r="BO73" s="149"/>
      <c r="BP73" s="149"/>
      <c r="BQ73" s="149"/>
      <c r="BR73" s="149"/>
      <c r="BS73" s="149"/>
      <c r="BT73" s="149"/>
      <c r="BU73" s="149"/>
      <c r="BV73" s="149"/>
      <c r="BW73" s="149"/>
      <c r="BX73" s="149"/>
      <c r="BY73" s="149"/>
      <c r="BZ73" s="149"/>
      <c r="CA73" s="149"/>
      <c r="CB73" s="149"/>
      <c r="CC73" s="149"/>
      <c r="CD73" s="149"/>
      <c r="CE73" s="149"/>
      <c r="CF73" s="149"/>
      <c r="CG73" s="149"/>
      <c r="CH73" s="149"/>
      <c r="CI73" s="149"/>
      <c r="CJ73" s="149"/>
      <c r="CK73" s="149"/>
      <c r="CL73" s="149"/>
      <c r="CM73" s="149"/>
      <c r="CN73" s="149"/>
      <c r="CO73" s="149"/>
      <c r="CP73" s="149"/>
      <c r="CQ73" s="149"/>
      <c r="CR73" s="149"/>
      <c r="CS73" s="149"/>
      <c r="CT73" s="149"/>
      <c r="CU73" s="149"/>
      <c r="CV73" s="149"/>
      <c r="CW73" s="149"/>
      <c r="CX73" s="149"/>
      <c r="CY73" s="149"/>
      <c r="CZ73" s="149"/>
      <c r="DA73" s="149"/>
      <c r="DB73" s="149"/>
      <c r="DC73" s="149"/>
      <c r="DD73" s="149"/>
      <c r="DE73" s="149"/>
      <c r="DF73" s="149"/>
      <c r="DG73" s="149"/>
      <c r="DH73" s="149"/>
      <c r="DI73" s="149"/>
      <c r="DJ73" s="149"/>
      <c r="DK73" s="149"/>
      <c r="DL73" s="149"/>
      <c r="DM73" s="149"/>
      <c r="DN73" s="149"/>
      <c r="DO73" s="149"/>
      <c r="DP73" s="149"/>
      <c r="DQ73" s="149"/>
      <c r="DR73" s="149"/>
      <c r="DS73" s="149"/>
      <c r="DT73" s="149"/>
      <c r="DU73" s="149"/>
      <c r="DV73" s="149"/>
      <c r="DW73" s="149"/>
      <c r="DX73" s="149"/>
      <c r="DY73" s="149"/>
      <c r="DZ73" s="149"/>
      <c r="EA73" s="149"/>
      <c r="EB73" s="149"/>
      <c r="EC73" s="149"/>
      <c r="ED73" s="149"/>
      <c r="EE73" s="149"/>
      <c r="EF73" s="149"/>
      <c r="EG73" s="149"/>
      <c r="EH73" s="149"/>
      <c r="EI73" s="149"/>
      <c r="EJ73" s="149"/>
      <c r="EK73" s="149"/>
      <c r="EL73" s="149"/>
      <c r="EM73" s="149"/>
      <c r="EN73" s="149"/>
      <c r="EO73" s="149"/>
      <c r="EP73" s="149"/>
      <c r="EQ73" s="149"/>
      <c r="ER73" s="149"/>
      <c r="ES73" s="149"/>
      <c r="ET73" s="149"/>
      <c r="EU73" s="149"/>
      <c r="EV73" s="149"/>
      <c r="EW73" s="149"/>
      <c r="EX73" s="149"/>
      <c r="EY73" s="149"/>
      <c r="EZ73" s="149"/>
      <c r="FA73" s="149"/>
      <c r="FB73" s="149"/>
      <c r="FC73" s="149"/>
      <c r="FD73" s="149"/>
      <c r="FE73" s="149"/>
      <c r="FF73" s="149"/>
      <c r="FG73" s="149"/>
      <c r="FH73" s="149"/>
      <c r="FI73" s="149"/>
      <c r="FJ73" s="149"/>
      <c r="FK73" s="149"/>
      <c r="FL73" s="149"/>
      <c r="FM73" s="149"/>
      <c r="FN73" s="149"/>
      <c r="FO73" s="149"/>
      <c r="FP73" s="149"/>
      <c r="FQ73" s="149"/>
      <c r="FR73" s="149"/>
      <c r="FS73" s="149"/>
      <c r="FT73" s="149"/>
      <c r="FU73" s="149"/>
      <c r="FV73" s="149"/>
      <c r="FW73" s="149"/>
      <c r="FX73" s="149"/>
      <c r="FY73" s="149"/>
      <c r="FZ73" s="149"/>
      <c r="GA73" s="149"/>
      <c r="GB73" s="149"/>
      <c r="GC73" s="149"/>
      <c r="GD73" s="149"/>
      <c r="GE73" s="149"/>
    </row>
    <row r="74" spans="1:187">
      <c r="A74" s="149"/>
      <c r="B74" s="149"/>
      <c r="C74" s="149"/>
      <c r="D74" s="149"/>
      <c r="E74" s="149"/>
      <c r="F74" s="149"/>
      <c r="G74" s="149"/>
      <c r="H74" s="149"/>
      <c r="I74" s="149"/>
      <c r="J74" s="149"/>
      <c r="K74" s="149"/>
      <c r="L74" s="149"/>
      <c r="M74" s="149"/>
      <c r="N74" s="151"/>
      <c r="O74" s="149"/>
      <c r="P74" s="149"/>
      <c r="Q74" s="149"/>
      <c r="R74" s="149"/>
      <c r="S74" s="149"/>
      <c r="T74" s="149"/>
      <c r="U74" s="149"/>
      <c r="V74" s="149"/>
      <c r="W74" s="149"/>
      <c r="X74" s="149"/>
      <c r="Y74" s="149"/>
      <c r="Z74" s="149"/>
      <c r="AA74" s="149"/>
      <c r="AB74" s="149"/>
      <c r="AC74" s="149"/>
      <c r="AD74" s="149"/>
      <c r="AE74" s="149"/>
      <c r="AF74" s="149"/>
      <c r="AG74" s="149"/>
      <c r="AH74" s="149"/>
      <c r="AI74" s="149"/>
      <c r="AJ74" s="149"/>
      <c r="AK74" s="149"/>
      <c r="AL74" s="149"/>
      <c r="AM74" s="149"/>
      <c r="AN74" s="149"/>
      <c r="AO74" s="149"/>
      <c r="AP74" s="149"/>
      <c r="AQ74" s="149"/>
      <c r="AR74" s="149"/>
      <c r="AS74" s="149"/>
      <c r="AT74" s="149"/>
      <c r="AU74" s="149"/>
      <c r="AV74" s="149"/>
      <c r="AW74" s="149"/>
      <c r="AX74" s="149"/>
      <c r="AY74" s="149"/>
      <c r="AZ74" s="149"/>
      <c r="BA74" s="149"/>
      <c r="BB74" s="149"/>
      <c r="BC74" s="149"/>
      <c r="BD74" s="149"/>
      <c r="BE74" s="151"/>
      <c r="BF74" s="149"/>
      <c r="BG74" s="149"/>
      <c r="BH74" s="149"/>
      <c r="BI74" s="149"/>
      <c r="BJ74" s="149"/>
      <c r="BK74" s="149"/>
      <c r="BL74" s="149"/>
      <c r="BM74" s="149"/>
      <c r="BN74" s="149"/>
      <c r="BO74" s="149"/>
      <c r="BP74" s="149"/>
      <c r="BQ74" s="149"/>
      <c r="BR74" s="149"/>
      <c r="BS74" s="149"/>
      <c r="BT74" s="149"/>
      <c r="BU74" s="149"/>
      <c r="BV74" s="149"/>
      <c r="BW74" s="149"/>
      <c r="BX74" s="149"/>
      <c r="BY74" s="149"/>
      <c r="BZ74" s="149"/>
      <c r="CA74" s="149"/>
      <c r="CB74" s="149"/>
      <c r="CC74" s="149"/>
      <c r="CD74" s="149"/>
      <c r="CE74" s="149"/>
      <c r="CF74" s="149"/>
      <c r="CG74" s="149"/>
      <c r="CH74" s="149"/>
      <c r="CI74" s="149"/>
      <c r="CJ74" s="149"/>
      <c r="CK74" s="149"/>
      <c r="CL74" s="149"/>
      <c r="CM74" s="149"/>
      <c r="CN74" s="149"/>
      <c r="CO74" s="149"/>
      <c r="CP74" s="149"/>
      <c r="CQ74" s="149"/>
      <c r="CR74" s="149"/>
      <c r="CS74" s="149"/>
      <c r="CT74" s="149"/>
      <c r="CU74" s="149"/>
      <c r="CV74" s="149"/>
      <c r="CW74" s="149"/>
      <c r="CX74" s="149"/>
      <c r="CY74" s="149"/>
      <c r="CZ74" s="149"/>
      <c r="DA74" s="149"/>
      <c r="DB74" s="149"/>
      <c r="DC74" s="149"/>
      <c r="DD74" s="149"/>
      <c r="DE74" s="149"/>
      <c r="DF74" s="149"/>
      <c r="DG74" s="149"/>
      <c r="DH74" s="149"/>
      <c r="DI74" s="149"/>
      <c r="DJ74" s="149"/>
      <c r="DK74" s="149"/>
      <c r="DL74" s="149"/>
      <c r="DM74" s="149"/>
      <c r="DN74" s="149"/>
      <c r="DO74" s="149"/>
      <c r="DP74" s="149"/>
      <c r="DQ74" s="149"/>
      <c r="DR74" s="149"/>
      <c r="DS74" s="149"/>
      <c r="DT74" s="149"/>
      <c r="DU74" s="149"/>
      <c r="DV74" s="149"/>
      <c r="DW74" s="149"/>
      <c r="DX74" s="149"/>
      <c r="DY74" s="149"/>
      <c r="DZ74" s="149"/>
      <c r="EA74" s="149"/>
      <c r="EB74" s="149"/>
      <c r="EC74" s="149"/>
      <c r="ED74" s="149"/>
      <c r="EE74" s="149"/>
      <c r="EF74" s="149"/>
      <c r="EG74" s="149"/>
      <c r="EH74" s="149"/>
      <c r="EI74" s="149"/>
      <c r="EJ74" s="149"/>
      <c r="EK74" s="149"/>
      <c r="EL74" s="149"/>
      <c r="EM74" s="149"/>
      <c r="EN74" s="149"/>
      <c r="EO74" s="149"/>
      <c r="EP74" s="149"/>
      <c r="EQ74" s="149"/>
      <c r="ER74" s="149"/>
      <c r="ES74" s="149"/>
      <c r="ET74" s="149"/>
      <c r="EU74" s="149"/>
      <c r="EV74" s="149"/>
      <c r="EW74" s="149"/>
      <c r="EX74" s="149"/>
      <c r="EY74" s="149"/>
      <c r="EZ74" s="149"/>
      <c r="FA74" s="149"/>
      <c r="FB74" s="149"/>
      <c r="FC74" s="149"/>
      <c r="FD74" s="149"/>
      <c r="FE74" s="149"/>
      <c r="FF74" s="149"/>
      <c r="FG74" s="149"/>
      <c r="FH74" s="149"/>
      <c r="FI74" s="149"/>
      <c r="FJ74" s="149"/>
      <c r="FK74" s="149"/>
      <c r="FL74" s="149"/>
      <c r="FM74" s="149"/>
      <c r="FN74" s="149"/>
      <c r="FO74" s="149"/>
      <c r="FP74" s="149"/>
      <c r="FQ74" s="149"/>
      <c r="FR74" s="149"/>
      <c r="FS74" s="149"/>
      <c r="FT74" s="149"/>
      <c r="FU74" s="149"/>
      <c r="FV74" s="149"/>
      <c r="FW74" s="149"/>
      <c r="FX74" s="149"/>
      <c r="FY74" s="149"/>
      <c r="FZ74" s="149"/>
      <c r="GA74" s="149"/>
      <c r="GB74" s="149"/>
      <c r="GC74" s="149"/>
      <c r="GD74" s="149"/>
      <c r="GE74" s="149"/>
    </row>
    <row r="75" spans="1:187">
      <c r="A75" s="149"/>
      <c r="B75" s="149"/>
      <c r="C75" s="149"/>
      <c r="D75" s="149"/>
      <c r="E75" s="149"/>
      <c r="F75" s="149"/>
      <c r="G75" s="149"/>
      <c r="H75" s="149"/>
      <c r="I75" s="149"/>
      <c r="J75" s="149"/>
      <c r="K75" s="149"/>
      <c r="L75" s="149"/>
      <c r="M75" s="149"/>
      <c r="N75" s="151"/>
      <c r="O75" s="149"/>
      <c r="P75" s="149"/>
      <c r="Q75" s="149"/>
      <c r="R75" s="149"/>
      <c r="S75" s="149"/>
      <c r="T75" s="149"/>
      <c r="U75" s="149"/>
      <c r="V75" s="149"/>
      <c r="W75" s="149"/>
      <c r="X75" s="149"/>
      <c r="Y75" s="149"/>
      <c r="Z75" s="149"/>
      <c r="AA75" s="149"/>
      <c r="AB75" s="149"/>
      <c r="AC75" s="149"/>
      <c r="AD75" s="149"/>
      <c r="AE75" s="149"/>
      <c r="AF75" s="149"/>
      <c r="AG75" s="149"/>
      <c r="AH75" s="149"/>
      <c r="AI75" s="149"/>
      <c r="AJ75" s="149"/>
      <c r="AK75" s="149"/>
      <c r="AL75" s="149"/>
      <c r="AM75" s="149"/>
      <c r="AN75" s="149"/>
      <c r="AO75" s="149"/>
      <c r="AP75" s="149"/>
      <c r="AQ75" s="149"/>
      <c r="AR75" s="149"/>
      <c r="AS75" s="149"/>
      <c r="AT75" s="149"/>
      <c r="AU75" s="149"/>
      <c r="AV75" s="149"/>
      <c r="AW75" s="149"/>
      <c r="AX75" s="149"/>
      <c r="AY75" s="149"/>
      <c r="AZ75" s="149"/>
      <c r="BA75" s="149"/>
      <c r="BB75" s="149"/>
      <c r="BC75" s="149"/>
      <c r="BD75" s="149"/>
      <c r="BE75" s="151"/>
      <c r="BF75" s="149"/>
      <c r="BG75" s="149"/>
      <c r="BH75" s="149"/>
      <c r="BI75" s="149"/>
      <c r="BJ75" s="149"/>
      <c r="BK75" s="149"/>
      <c r="BL75" s="149"/>
      <c r="BM75" s="149"/>
      <c r="BN75" s="149"/>
      <c r="BO75" s="149"/>
      <c r="BP75" s="149"/>
      <c r="BQ75" s="149"/>
      <c r="BR75" s="149"/>
      <c r="BS75" s="149"/>
      <c r="BT75" s="149"/>
      <c r="BU75" s="149"/>
      <c r="BV75" s="149"/>
      <c r="BW75" s="149"/>
      <c r="BX75" s="149"/>
      <c r="BY75" s="149"/>
      <c r="BZ75" s="149"/>
      <c r="CA75" s="149"/>
      <c r="CB75" s="149"/>
      <c r="CC75" s="149"/>
      <c r="CD75" s="149"/>
      <c r="CE75" s="149"/>
      <c r="CF75" s="149"/>
      <c r="CG75" s="149"/>
      <c r="CH75" s="149"/>
      <c r="CI75" s="149"/>
      <c r="CJ75" s="149"/>
      <c r="CK75" s="149"/>
      <c r="CL75" s="149"/>
      <c r="CM75" s="149"/>
      <c r="CN75" s="149"/>
      <c r="CO75" s="149"/>
      <c r="CP75" s="149"/>
      <c r="CQ75" s="149"/>
      <c r="CR75" s="149"/>
      <c r="CS75" s="149"/>
      <c r="CT75" s="149"/>
      <c r="CU75" s="149"/>
      <c r="CV75" s="149"/>
      <c r="CW75" s="149"/>
      <c r="CX75" s="149"/>
      <c r="CY75" s="149"/>
      <c r="CZ75" s="149"/>
      <c r="DA75" s="149"/>
      <c r="DB75" s="149"/>
      <c r="DC75" s="149"/>
      <c r="DD75" s="149"/>
      <c r="DE75" s="149"/>
      <c r="DF75" s="149"/>
      <c r="DG75" s="149"/>
      <c r="DH75" s="149"/>
      <c r="DI75" s="149"/>
      <c r="DJ75" s="149"/>
      <c r="DK75" s="149"/>
      <c r="DL75" s="149"/>
      <c r="DM75" s="149"/>
      <c r="DN75" s="149"/>
      <c r="DO75" s="149"/>
      <c r="DP75" s="149"/>
      <c r="DQ75" s="149"/>
      <c r="DR75" s="149"/>
      <c r="DS75" s="149"/>
      <c r="DT75" s="149"/>
      <c r="DU75" s="149"/>
      <c r="DV75" s="149"/>
      <c r="DW75" s="149"/>
      <c r="DX75" s="149"/>
      <c r="DY75" s="149"/>
      <c r="DZ75" s="149"/>
      <c r="EA75" s="149"/>
      <c r="EB75" s="149"/>
      <c r="EC75" s="149"/>
      <c r="ED75" s="149"/>
      <c r="EE75" s="149"/>
      <c r="EF75" s="149"/>
      <c r="EG75" s="149"/>
      <c r="EH75" s="149"/>
      <c r="EI75" s="149"/>
      <c r="EJ75" s="149"/>
      <c r="EK75" s="149"/>
      <c r="EL75" s="149"/>
      <c r="EM75" s="149"/>
      <c r="EN75" s="149"/>
      <c r="EO75" s="149"/>
      <c r="EP75" s="149"/>
      <c r="EQ75" s="149"/>
      <c r="ER75" s="149"/>
      <c r="ES75" s="149"/>
      <c r="ET75" s="149"/>
      <c r="EU75" s="149"/>
      <c r="EV75" s="149"/>
      <c r="EW75" s="149"/>
      <c r="EX75" s="149"/>
      <c r="EY75" s="149"/>
      <c r="EZ75" s="149"/>
      <c r="FA75" s="149"/>
      <c r="FB75" s="149"/>
      <c r="FC75" s="149"/>
      <c r="FD75" s="149"/>
      <c r="FE75" s="149"/>
      <c r="FF75" s="149"/>
      <c r="FG75" s="149"/>
      <c r="FH75" s="149"/>
      <c r="FI75" s="149"/>
      <c r="FJ75" s="149"/>
      <c r="FK75" s="149"/>
      <c r="FL75" s="149"/>
      <c r="FM75" s="149"/>
      <c r="FN75" s="149"/>
      <c r="FO75" s="149"/>
      <c r="FP75" s="149"/>
      <c r="FQ75" s="149"/>
      <c r="FR75" s="149"/>
      <c r="FS75" s="149"/>
      <c r="FT75" s="149"/>
      <c r="FU75" s="149"/>
      <c r="FV75" s="149"/>
      <c r="FW75" s="149"/>
      <c r="FX75" s="149"/>
      <c r="FY75" s="149"/>
      <c r="FZ75" s="149"/>
      <c r="GA75" s="149"/>
      <c r="GB75" s="149"/>
      <c r="GC75" s="149"/>
      <c r="GD75" s="149"/>
      <c r="GE75" s="149"/>
    </row>
    <row r="76" spans="1:187">
      <c r="A76" s="149"/>
      <c r="B76" s="149"/>
      <c r="C76" s="149"/>
      <c r="D76" s="149"/>
      <c r="E76" s="149"/>
      <c r="F76" s="149"/>
      <c r="G76" s="149"/>
      <c r="H76" s="149"/>
      <c r="I76" s="149"/>
      <c r="J76" s="149"/>
      <c r="K76" s="149"/>
      <c r="L76" s="149"/>
      <c r="M76" s="149"/>
      <c r="N76" s="151"/>
      <c r="O76" s="149"/>
      <c r="P76" s="149"/>
      <c r="Q76" s="149"/>
      <c r="R76" s="149"/>
      <c r="S76" s="149"/>
      <c r="T76" s="149"/>
      <c r="U76" s="149"/>
      <c r="V76" s="149"/>
      <c r="W76" s="149"/>
      <c r="X76" s="149"/>
      <c r="Y76" s="149"/>
      <c r="Z76" s="149"/>
      <c r="AA76" s="149"/>
      <c r="AB76" s="149"/>
      <c r="AC76" s="149"/>
      <c r="AD76" s="149"/>
      <c r="AE76" s="149"/>
      <c r="AF76" s="149"/>
      <c r="AG76" s="149"/>
      <c r="AH76" s="149"/>
      <c r="AI76" s="149"/>
      <c r="AJ76" s="149"/>
      <c r="AK76" s="149"/>
      <c r="AL76" s="149"/>
      <c r="AM76" s="149"/>
      <c r="AN76" s="149"/>
      <c r="AO76" s="149"/>
      <c r="AP76" s="149"/>
      <c r="AQ76" s="149"/>
      <c r="AR76" s="149"/>
      <c r="AS76" s="149"/>
      <c r="AT76" s="149"/>
      <c r="AU76" s="149"/>
      <c r="AV76" s="149"/>
      <c r="AW76" s="149"/>
      <c r="AX76" s="149"/>
      <c r="AY76" s="149"/>
      <c r="AZ76" s="149"/>
      <c r="BA76" s="149"/>
      <c r="BB76" s="149"/>
      <c r="BC76" s="149"/>
      <c r="BD76" s="149"/>
      <c r="BE76" s="151"/>
      <c r="BF76" s="149"/>
      <c r="BG76" s="149"/>
      <c r="BH76" s="149"/>
      <c r="BI76" s="149"/>
      <c r="BJ76" s="149"/>
      <c r="BK76" s="149"/>
      <c r="BL76" s="149"/>
      <c r="BM76" s="149"/>
      <c r="BN76" s="149"/>
      <c r="BO76" s="149"/>
      <c r="BP76" s="149"/>
      <c r="BQ76" s="149"/>
      <c r="BR76" s="149"/>
      <c r="BS76" s="149"/>
      <c r="BT76" s="149"/>
      <c r="BU76" s="149"/>
      <c r="BV76" s="149"/>
      <c r="BW76" s="149"/>
      <c r="BX76" s="149"/>
      <c r="BY76" s="149"/>
      <c r="BZ76" s="149"/>
      <c r="CA76" s="149"/>
      <c r="CB76" s="149"/>
      <c r="CC76" s="149"/>
      <c r="CD76" s="149"/>
      <c r="CE76" s="149"/>
      <c r="CF76" s="149"/>
      <c r="CG76" s="149"/>
      <c r="CH76" s="149"/>
      <c r="CI76" s="149"/>
      <c r="CJ76" s="149"/>
      <c r="CK76" s="149"/>
      <c r="CL76" s="149"/>
      <c r="CM76" s="149"/>
      <c r="CN76" s="149"/>
      <c r="CO76" s="149"/>
      <c r="CP76" s="149"/>
      <c r="CQ76" s="149"/>
      <c r="CR76" s="149"/>
      <c r="CS76" s="149"/>
      <c r="CT76" s="149"/>
      <c r="CU76" s="149"/>
      <c r="CV76" s="149"/>
      <c r="CW76" s="149"/>
      <c r="CX76" s="149"/>
      <c r="CY76" s="149"/>
      <c r="CZ76" s="149"/>
      <c r="DA76" s="149"/>
      <c r="DB76" s="149"/>
      <c r="DC76" s="149"/>
      <c r="DD76" s="149"/>
      <c r="DE76" s="149"/>
      <c r="DF76" s="149"/>
      <c r="DG76" s="149"/>
      <c r="DH76" s="149"/>
      <c r="DI76" s="149"/>
      <c r="DJ76" s="149"/>
      <c r="DK76" s="149"/>
      <c r="DL76" s="149"/>
      <c r="DM76" s="149"/>
      <c r="DN76" s="149"/>
      <c r="DO76" s="149"/>
      <c r="DP76" s="149"/>
      <c r="DQ76" s="149"/>
      <c r="DR76" s="149"/>
      <c r="DS76" s="149"/>
      <c r="DT76" s="149"/>
      <c r="DU76" s="149"/>
      <c r="DV76" s="149"/>
      <c r="DW76" s="149"/>
      <c r="DX76" s="149"/>
      <c r="DY76" s="149"/>
      <c r="DZ76" s="149"/>
      <c r="EA76" s="149"/>
      <c r="EB76" s="149"/>
      <c r="EC76" s="149"/>
      <c r="ED76" s="149"/>
      <c r="EE76" s="149"/>
      <c r="EF76" s="149"/>
      <c r="EG76" s="149"/>
      <c r="EH76" s="149"/>
      <c r="EI76" s="149"/>
      <c r="EJ76" s="149"/>
      <c r="EK76" s="149"/>
      <c r="EL76" s="149"/>
      <c r="EM76" s="149"/>
      <c r="EN76" s="149"/>
      <c r="EO76" s="149"/>
      <c r="EP76" s="149"/>
      <c r="EQ76" s="149"/>
      <c r="ER76" s="149"/>
      <c r="ES76" s="149"/>
      <c r="ET76" s="149"/>
      <c r="EU76" s="149"/>
      <c r="EV76" s="149"/>
      <c r="EW76" s="149"/>
      <c r="EX76" s="149"/>
      <c r="EY76" s="149"/>
      <c r="EZ76" s="149"/>
      <c r="FA76" s="149"/>
      <c r="FB76" s="149"/>
      <c r="FC76" s="149"/>
      <c r="FD76" s="149"/>
      <c r="FE76" s="149"/>
      <c r="FF76" s="149"/>
      <c r="FG76" s="149"/>
      <c r="FH76" s="149"/>
      <c r="FI76" s="149"/>
      <c r="FJ76" s="149"/>
      <c r="FK76" s="149"/>
      <c r="FL76" s="149"/>
      <c r="FM76" s="149"/>
      <c r="FN76" s="149"/>
      <c r="FO76" s="149"/>
      <c r="FP76" s="149"/>
      <c r="FQ76" s="149"/>
      <c r="FR76" s="149"/>
      <c r="FS76" s="149"/>
      <c r="FT76" s="149"/>
      <c r="FU76" s="149"/>
      <c r="FV76" s="149"/>
      <c r="FW76" s="149"/>
      <c r="FX76" s="149"/>
      <c r="FY76" s="149"/>
      <c r="FZ76" s="149"/>
      <c r="GA76" s="149"/>
      <c r="GB76" s="149"/>
      <c r="GC76" s="149"/>
      <c r="GD76" s="149"/>
      <c r="GE76" s="149"/>
    </row>
    <row r="77" spans="1:187">
      <c r="A77" s="149"/>
      <c r="B77" s="149"/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51"/>
      <c r="O77" s="149"/>
      <c r="P77" s="149"/>
      <c r="Q77" s="149"/>
      <c r="R77" s="149"/>
      <c r="S77" s="149"/>
      <c r="T77" s="149"/>
      <c r="U77" s="149"/>
      <c r="V77" s="149"/>
      <c r="W77" s="149"/>
      <c r="X77" s="149"/>
      <c r="Y77" s="149"/>
      <c r="Z77" s="149"/>
      <c r="AA77" s="149"/>
      <c r="AB77" s="149"/>
      <c r="AC77" s="149"/>
      <c r="AD77" s="149"/>
      <c r="AE77" s="149"/>
      <c r="AF77" s="149"/>
      <c r="AG77" s="149"/>
      <c r="AH77" s="149"/>
      <c r="AI77" s="149"/>
      <c r="AJ77" s="149"/>
      <c r="AK77" s="149"/>
      <c r="AL77" s="149"/>
      <c r="AM77" s="149"/>
      <c r="AN77" s="149"/>
      <c r="AO77" s="149"/>
      <c r="AP77" s="149"/>
      <c r="AQ77" s="149"/>
      <c r="AR77" s="149"/>
      <c r="AS77" s="149"/>
      <c r="AT77" s="149"/>
      <c r="AU77" s="149"/>
      <c r="AV77" s="149"/>
      <c r="AW77" s="149"/>
      <c r="AX77" s="149"/>
      <c r="AY77" s="149"/>
      <c r="AZ77" s="149"/>
      <c r="BA77" s="149"/>
      <c r="BB77" s="149"/>
      <c r="BC77" s="149"/>
      <c r="BD77" s="149"/>
      <c r="BE77" s="151"/>
      <c r="BF77" s="149"/>
      <c r="BG77" s="149"/>
      <c r="BH77" s="149"/>
      <c r="BI77" s="149"/>
      <c r="BJ77" s="149"/>
      <c r="BK77" s="149"/>
      <c r="BL77" s="149"/>
      <c r="BM77" s="149"/>
      <c r="BN77" s="149"/>
      <c r="BO77" s="149"/>
      <c r="BP77" s="149"/>
      <c r="BQ77" s="149"/>
      <c r="BR77" s="149"/>
      <c r="BS77" s="149"/>
      <c r="BT77" s="149"/>
      <c r="BU77" s="149"/>
      <c r="BV77" s="149"/>
      <c r="BW77" s="149"/>
      <c r="BX77" s="149"/>
      <c r="BY77" s="149"/>
      <c r="BZ77" s="149"/>
      <c r="CA77" s="149"/>
      <c r="CB77" s="149"/>
      <c r="CC77" s="149"/>
      <c r="CD77" s="149"/>
      <c r="CE77" s="149"/>
      <c r="CF77" s="149"/>
      <c r="CG77" s="149"/>
      <c r="CH77" s="149"/>
      <c r="CI77" s="149"/>
      <c r="CJ77" s="149"/>
      <c r="CK77" s="149"/>
      <c r="CL77" s="149"/>
      <c r="CM77" s="149"/>
      <c r="CN77" s="149"/>
      <c r="CO77" s="149"/>
      <c r="CP77" s="149"/>
      <c r="CQ77" s="149"/>
      <c r="CR77" s="149"/>
      <c r="CS77" s="149"/>
      <c r="CT77" s="149"/>
      <c r="CU77" s="149"/>
      <c r="CV77" s="149"/>
      <c r="CW77" s="149"/>
      <c r="CX77" s="149"/>
      <c r="CY77" s="149"/>
      <c r="CZ77" s="149"/>
      <c r="DA77" s="149"/>
      <c r="DB77" s="149"/>
      <c r="DC77" s="149"/>
      <c r="DD77" s="149"/>
      <c r="DE77" s="149"/>
      <c r="DF77" s="149"/>
      <c r="DG77" s="149"/>
      <c r="DH77" s="149"/>
      <c r="DI77" s="149"/>
      <c r="DJ77" s="149"/>
      <c r="DK77" s="149"/>
      <c r="DL77" s="149"/>
      <c r="DM77" s="149"/>
      <c r="DN77" s="149"/>
      <c r="DO77" s="149"/>
      <c r="DP77" s="149"/>
      <c r="DQ77" s="149"/>
      <c r="DR77" s="149"/>
      <c r="DS77" s="149"/>
      <c r="DT77" s="149"/>
      <c r="DU77" s="149"/>
      <c r="DV77" s="149"/>
      <c r="DW77" s="149"/>
      <c r="DX77" s="149"/>
      <c r="DY77" s="149"/>
      <c r="DZ77" s="149"/>
      <c r="EA77" s="149"/>
      <c r="EB77" s="149"/>
      <c r="EC77" s="149"/>
      <c r="ED77" s="149"/>
      <c r="EE77" s="149"/>
      <c r="EF77" s="149"/>
      <c r="EG77" s="149"/>
      <c r="EH77" s="149"/>
      <c r="EI77" s="149"/>
      <c r="EJ77" s="149"/>
      <c r="EK77" s="149"/>
      <c r="EL77" s="149"/>
      <c r="EM77" s="149"/>
      <c r="EN77" s="149"/>
      <c r="EO77" s="149"/>
      <c r="EP77" s="149"/>
      <c r="EQ77" s="149"/>
      <c r="ER77" s="149"/>
      <c r="ES77" s="149"/>
      <c r="ET77" s="149"/>
      <c r="EU77" s="149"/>
      <c r="EV77" s="149"/>
      <c r="EW77" s="149"/>
      <c r="EX77" s="149"/>
      <c r="EY77" s="149"/>
      <c r="EZ77" s="149"/>
      <c r="FA77" s="149"/>
      <c r="FB77" s="149"/>
      <c r="FC77" s="149"/>
      <c r="FD77" s="149"/>
      <c r="FE77" s="149"/>
      <c r="FF77" s="149"/>
      <c r="FG77" s="149"/>
      <c r="FH77" s="149"/>
      <c r="FI77" s="149"/>
      <c r="FJ77" s="149"/>
      <c r="FK77" s="149"/>
      <c r="FL77" s="149"/>
      <c r="FM77" s="149"/>
      <c r="FN77" s="149"/>
      <c r="FO77" s="149"/>
      <c r="FP77" s="149"/>
      <c r="FQ77" s="149"/>
      <c r="FR77" s="149"/>
      <c r="FS77" s="149"/>
      <c r="FT77" s="149"/>
      <c r="FU77" s="149"/>
      <c r="FV77" s="149"/>
      <c r="FW77" s="149"/>
      <c r="FX77" s="149"/>
      <c r="FY77" s="149"/>
      <c r="FZ77" s="149"/>
      <c r="GA77" s="149"/>
      <c r="GB77" s="149"/>
      <c r="GC77" s="149"/>
      <c r="GD77" s="149"/>
      <c r="GE77" s="149"/>
    </row>
    <row r="78" spans="1:187">
      <c r="A78" s="149"/>
      <c r="B78" s="149"/>
      <c r="C78" s="149"/>
      <c r="D78" s="149"/>
      <c r="E78" s="149"/>
      <c r="F78" s="149"/>
      <c r="G78" s="149"/>
      <c r="H78" s="149"/>
      <c r="I78" s="149"/>
      <c r="J78" s="149"/>
      <c r="K78" s="149"/>
      <c r="L78" s="149"/>
      <c r="M78" s="149"/>
      <c r="N78" s="151"/>
      <c r="O78" s="149"/>
      <c r="P78" s="149"/>
      <c r="Q78" s="149"/>
      <c r="R78" s="149"/>
      <c r="S78" s="149"/>
      <c r="T78" s="149"/>
      <c r="U78" s="149"/>
      <c r="V78" s="149"/>
      <c r="W78" s="149"/>
      <c r="X78" s="149"/>
      <c r="Y78" s="149"/>
      <c r="Z78" s="149"/>
      <c r="AA78" s="149"/>
      <c r="AB78" s="149"/>
      <c r="AC78" s="149"/>
      <c r="AD78" s="149"/>
      <c r="AE78" s="149"/>
      <c r="AF78" s="149"/>
      <c r="AG78" s="149"/>
      <c r="AH78" s="149"/>
      <c r="AI78" s="149"/>
      <c r="AJ78" s="149"/>
      <c r="AK78" s="149"/>
      <c r="AL78" s="149"/>
      <c r="AM78" s="149"/>
      <c r="AN78" s="149"/>
      <c r="AO78" s="149"/>
      <c r="AP78" s="149"/>
      <c r="AQ78" s="149"/>
      <c r="AR78" s="149"/>
      <c r="AS78" s="149"/>
      <c r="AT78" s="149"/>
      <c r="AU78" s="149"/>
      <c r="AV78" s="149"/>
      <c r="AW78" s="149"/>
      <c r="AX78" s="149"/>
      <c r="AY78" s="149"/>
      <c r="AZ78" s="149"/>
      <c r="BA78" s="149"/>
      <c r="BB78" s="149"/>
      <c r="BC78" s="149"/>
      <c r="BD78" s="149"/>
      <c r="BE78" s="151"/>
      <c r="BF78" s="149"/>
      <c r="BG78" s="149"/>
      <c r="BH78" s="149"/>
      <c r="BI78" s="149"/>
      <c r="BJ78" s="149"/>
      <c r="BK78" s="149"/>
      <c r="BL78" s="149"/>
      <c r="BM78" s="149"/>
      <c r="BN78" s="149"/>
      <c r="BO78" s="149"/>
      <c r="BP78" s="149"/>
      <c r="BQ78" s="149"/>
      <c r="BR78" s="149"/>
      <c r="BS78" s="149"/>
      <c r="BT78" s="149"/>
      <c r="BU78" s="149"/>
      <c r="BV78" s="149"/>
      <c r="BW78" s="149"/>
      <c r="BX78" s="149"/>
      <c r="BY78" s="149"/>
      <c r="BZ78" s="149"/>
      <c r="CA78" s="149"/>
      <c r="CB78" s="149"/>
      <c r="CC78" s="149"/>
      <c r="CD78" s="149"/>
      <c r="CE78" s="149"/>
      <c r="CF78" s="149"/>
      <c r="CG78" s="149"/>
      <c r="CH78" s="149"/>
      <c r="CI78" s="149"/>
      <c r="CJ78" s="149"/>
      <c r="CK78" s="149"/>
      <c r="CL78" s="149"/>
      <c r="CM78" s="149"/>
      <c r="CN78" s="149"/>
      <c r="CO78" s="149"/>
      <c r="CP78" s="149"/>
      <c r="CQ78" s="149"/>
      <c r="CR78" s="149"/>
      <c r="CS78" s="149"/>
      <c r="CT78" s="149"/>
      <c r="CU78" s="149"/>
      <c r="CV78" s="149"/>
      <c r="CW78" s="149"/>
      <c r="CX78" s="149"/>
      <c r="CY78" s="149"/>
      <c r="CZ78" s="149"/>
      <c r="DA78" s="149"/>
      <c r="DB78" s="149"/>
      <c r="DC78" s="149"/>
      <c r="DD78" s="149"/>
      <c r="DE78" s="149"/>
      <c r="DF78" s="149"/>
      <c r="DG78" s="149"/>
      <c r="DH78" s="149"/>
      <c r="DI78" s="149"/>
      <c r="DJ78" s="149"/>
      <c r="DK78" s="149"/>
      <c r="DL78" s="149"/>
      <c r="DM78" s="149"/>
      <c r="DN78" s="149"/>
      <c r="DO78" s="149"/>
      <c r="DP78" s="149"/>
      <c r="DQ78" s="149"/>
      <c r="DR78" s="149"/>
      <c r="DS78" s="149"/>
      <c r="DT78" s="149"/>
      <c r="DU78" s="149"/>
      <c r="DV78" s="149"/>
      <c r="DW78" s="149"/>
      <c r="DX78" s="149"/>
      <c r="DY78" s="149"/>
      <c r="DZ78" s="149"/>
      <c r="EA78" s="149"/>
      <c r="EB78" s="149"/>
      <c r="EC78" s="149"/>
      <c r="ED78" s="149"/>
      <c r="EE78" s="149"/>
      <c r="EF78" s="149"/>
      <c r="EG78" s="149"/>
      <c r="EH78" s="149"/>
      <c r="EI78" s="149"/>
      <c r="EJ78" s="149"/>
      <c r="EK78" s="149"/>
      <c r="EL78" s="149"/>
      <c r="EM78" s="149"/>
      <c r="EN78" s="149"/>
      <c r="EO78" s="149"/>
      <c r="EP78" s="149"/>
      <c r="EQ78" s="149"/>
      <c r="ER78" s="149"/>
      <c r="ES78" s="149"/>
      <c r="ET78" s="149"/>
      <c r="EU78" s="149"/>
      <c r="EV78" s="149"/>
      <c r="EW78" s="149"/>
      <c r="EX78" s="149"/>
      <c r="EY78" s="149"/>
      <c r="EZ78" s="149"/>
      <c r="FA78" s="149"/>
      <c r="FB78" s="149"/>
      <c r="FC78" s="149"/>
      <c r="FD78" s="149"/>
      <c r="FE78" s="149"/>
      <c r="FF78" s="149"/>
      <c r="FG78" s="149"/>
      <c r="FH78" s="149"/>
      <c r="FI78" s="149"/>
      <c r="FJ78" s="149"/>
      <c r="FK78" s="149"/>
      <c r="FL78" s="149"/>
      <c r="FM78" s="149"/>
      <c r="FN78" s="149"/>
      <c r="FO78" s="149"/>
      <c r="FP78" s="149"/>
      <c r="FQ78" s="149"/>
      <c r="FR78" s="149"/>
      <c r="FS78" s="149"/>
      <c r="FT78" s="149"/>
      <c r="FU78" s="149"/>
      <c r="FV78" s="149"/>
      <c r="FW78" s="149"/>
      <c r="FX78" s="149"/>
      <c r="FY78" s="149"/>
      <c r="FZ78" s="149"/>
      <c r="GA78" s="149"/>
      <c r="GB78" s="149"/>
      <c r="GC78" s="149"/>
      <c r="GD78" s="149"/>
      <c r="GE78" s="149"/>
    </row>
    <row r="79" spans="1:187">
      <c r="A79" s="149"/>
      <c r="B79" s="149"/>
      <c r="C79" s="149"/>
      <c r="D79" s="149"/>
      <c r="E79" s="149"/>
      <c r="F79" s="149"/>
      <c r="G79" s="149"/>
      <c r="H79" s="149"/>
      <c r="I79" s="149"/>
      <c r="J79" s="149"/>
      <c r="K79" s="149"/>
      <c r="L79" s="149"/>
      <c r="M79" s="149"/>
      <c r="N79" s="151"/>
      <c r="O79" s="149"/>
      <c r="P79" s="149"/>
      <c r="Q79" s="149"/>
      <c r="R79" s="149"/>
      <c r="S79" s="149"/>
      <c r="T79" s="149"/>
      <c r="U79" s="149"/>
      <c r="V79" s="149"/>
      <c r="W79" s="149"/>
      <c r="X79" s="149"/>
      <c r="Y79" s="149"/>
      <c r="Z79" s="149"/>
      <c r="AA79" s="149"/>
      <c r="AB79" s="149"/>
      <c r="AC79" s="149"/>
      <c r="AD79" s="149"/>
      <c r="AE79" s="149"/>
      <c r="AF79" s="149"/>
      <c r="AG79" s="149"/>
      <c r="AH79" s="149"/>
      <c r="AI79" s="149"/>
      <c r="AJ79" s="149"/>
      <c r="AK79" s="149"/>
      <c r="AL79" s="149"/>
      <c r="AM79" s="149"/>
      <c r="AN79" s="149"/>
      <c r="AO79" s="149"/>
      <c r="AP79" s="149"/>
      <c r="AQ79" s="149"/>
      <c r="AR79" s="149"/>
      <c r="AS79" s="149"/>
      <c r="AT79" s="149"/>
      <c r="AU79" s="149"/>
      <c r="AV79" s="149"/>
      <c r="AW79" s="149"/>
      <c r="AX79" s="149"/>
      <c r="AY79" s="149"/>
      <c r="AZ79" s="149"/>
      <c r="BA79" s="149"/>
      <c r="BB79" s="149"/>
      <c r="BC79" s="149"/>
      <c r="BD79" s="149"/>
      <c r="BE79" s="151"/>
      <c r="BF79" s="149"/>
      <c r="BG79" s="149"/>
      <c r="BH79" s="149"/>
      <c r="BI79" s="149"/>
      <c r="BJ79" s="149"/>
      <c r="BK79" s="149"/>
      <c r="BL79" s="149"/>
      <c r="BM79" s="149"/>
      <c r="BN79" s="149"/>
      <c r="BO79" s="149"/>
      <c r="BP79" s="149"/>
      <c r="BQ79" s="149"/>
      <c r="BR79" s="149"/>
      <c r="BS79" s="149"/>
      <c r="BT79" s="149"/>
      <c r="BU79" s="149"/>
      <c r="BV79" s="149"/>
      <c r="BW79" s="149"/>
      <c r="BX79" s="149"/>
      <c r="BY79" s="149"/>
      <c r="BZ79" s="149"/>
      <c r="CA79" s="149"/>
      <c r="CB79" s="149"/>
      <c r="CC79" s="149"/>
      <c r="CD79" s="149"/>
      <c r="CE79" s="149"/>
      <c r="CF79" s="149"/>
      <c r="CG79" s="149"/>
      <c r="CH79" s="149"/>
      <c r="CI79" s="149"/>
      <c r="CJ79" s="149"/>
      <c r="CK79" s="149"/>
      <c r="CL79" s="149"/>
      <c r="CM79" s="149"/>
      <c r="CN79" s="149"/>
      <c r="CO79" s="149"/>
      <c r="CP79" s="149"/>
      <c r="CQ79" s="149"/>
      <c r="CR79" s="149"/>
      <c r="CS79" s="149"/>
      <c r="CT79" s="149"/>
      <c r="CU79" s="149"/>
      <c r="CV79" s="149"/>
      <c r="CW79" s="149"/>
      <c r="CX79" s="149"/>
      <c r="CY79" s="149"/>
      <c r="CZ79" s="149"/>
      <c r="DA79" s="149"/>
      <c r="DB79" s="149"/>
      <c r="DC79" s="149"/>
      <c r="DD79" s="149"/>
      <c r="DE79" s="149"/>
      <c r="DF79" s="149"/>
      <c r="DG79" s="149"/>
      <c r="DH79" s="149"/>
      <c r="DI79" s="149"/>
      <c r="DJ79" s="149"/>
      <c r="DK79" s="149"/>
      <c r="DL79" s="149"/>
      <c r="DM79" s="149"/>
      <c r="DN79" s="149"/>
      <c r="DO79" s="149"/>
      <c r="DP79" s="149"/>
      <c r="DQ79" s="149"/>
      <c r="DR79" s="149"/>
      <c r="DS79" s="149"/>
      <c r="DT79" s="149"/>
      <c r="DU79" s="149"/>
      <c r="DV79" s="149"/>
      <c r="DW79" s="149"/>
      <c r="DX79" s="149"/>
      <c r="DY79" s="149"/>
      <c r="DZ79" s="149"/>
      <c r="EA79" s="149"/>
      <c r="EB79" s="149"/>
      <c r="EC79" s="149"/>
      <c r="ED79" s="149"/>
      <c r="EE79" s="149"/>
      <c r="EF79" s="149"/>
      <c r="EG79" s="149"/>
      <c r="EH79" s="149"/>
      <c r="EI79" s="149"/>
      <c r="EJ79" s="149"/>
      <c r="EK79" s="149"/>
      <c r="EL79" s="149"/>
      <c r="EM79" s="149"/>
      <c r="EN79" s="149"/>
      <c r="EO79" s="149"/>
      <c r="EP79" s="149"/>
      <c r="EQ79" s="149"/>
      <c r="ER79" s="149"/>
      <c r="ES79" s="149"/>
      <c r="ET79" s="149"/>
      <c r="EU79" s="149"/>
      <c r="EV79" s="149"/>
      <c r="EW79" s="149"/>
      <c r="EX79" s="149"/>
      <c r="EY79" s="149"/>
      <c r="EZ79" s="149"/>
      <c r="FA79" s="149"/>
      <c r="FB79" s="149"/>
      <c r="FC79" s="149"/>
      <c r="FD79" s="149"/>
      <c r="FE79" s="149"/>
      <c r="FF79" s="149"/>
      <c r="FG79" s="149"/>
      <c r="FH79" s="149"/>
      <c r="FI79" s="149"/>
      <c r="FJ79" s="149"/>
      <c r="FK79" s="149"/>
      <c r="FL79" s="149"/>
      <c r="FM79" s="149"/>
      <c r="FN79" s="149"/>
      <c r="FO79" s="149"/>
      <c r="FP79" s="149"/>
      <c r="FQ79" s="149"/>
      <c r="FR79" s="149"/>
      <c r="FS79" s="149"/>
      <c r="FT79" s="149"/>
      <c r="FU79" s="149"/>
      <c r="FV79" s="149"/>
      <c r="FW79" s="149"/>
      <c r="FX79" s="149"/>
      <c r="FY79" s="149"/>
      <c r="FZ79" s="149"/>
      <c r="GA79" s="149"/>
      <c r="GB79" s="149"/>
      <c r="GC79" s="149"/>
      <c r="GD79" s="149"/>
      <c r="GE79" s="149"/>
    </row>
    <row r="80" spans="1:187">
      <c r="A80" s="149"/>
      <c r="B80" s="149"/>
      <c r="C80" s="149"/>
      <c r="D80" s="149"/>
      <c r="E80" s="149"/>
      <c r="F80" s="149"/>
      <c r="G80" s="149"/>
      <c r="H80" s="149"/>
      <c r="I80" s="149"/>
      <c r="J80" s="149"/>
      <c r="K80" s="149"/>
      <c r="L80" s="149"/>
      <c r="M80" s="149"/>
      <c r="N80" s="151"/>
      <c r="O80" s="149"/>
      <c r="P80" s="149"/>
      <c r="Q80" s="149"/>
      <c r="R80" s="149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  <c r="AC80" s="149"/>
      <c r="AD80" s="149"/>
      <c r="AE80" s="149"/>
      <c r="AF80" s="149"/>
      <c r="AG80" s="149"/>
      <c r="AH80" s="149"/>
      <c r="AI80" s="149"/>
      <c r="AJ80" s="149"/>
      <c r="AK80" s="149"/>
      <c r="AL80" s="149"/>
      <c r="AM80" s="149"/>
      <c r="AN80" s="149"/>
      <c r="AO80" s="149"/>
      <c r="AP80" s="149"/>
      <c r="AQ80" s="149"/>
      <c r="AR80" s="149"/>
      <c r="AS80" s="149"/>
      <c r="AT80" s="149"/>
      <c r="AU80" s="149"/>
      <c r="AV80" s="149"/>
      <c r="AW80" s="149"/>
      <c r="AX80" s="149"/>
      <c r="AY80" s="149"/>
      <c r="AZ80" s="149"/>
      <c r="BA80" s="149"/>
      <c r="BB80" s="149"/>
      <c r="BC80" s="149"/>
      <c r="BD80" s="149"/>
      <c r="BE80" s="151"/>
      <c r="BF80" s="149"/>
      <c r="BG80" s="149"/>
      <c r="BH80" s="149"/>
      <c r="BI80" s="149"/>
      <c r="BJ80" s="149"/>
      <c r="BK80" s="149"/>
      <c r="BL80" s="149"/>
      <c r="BM80" s="149"/>
      <c r="BN80" s="149"/>
      <c r="BO80" s="149"/>
      <c r="BP80" s="149"/>
      <c r="BQ80" s="149"/>
      <c r="BR80" s="149"/>
      <c r="BS80" s="149"/>
      <c r="BT80" s="149"/>
      <c r="BU80" s="149"/>
      <c r="BV80" s="149"/>
      <c r="BW80" s="149"/>
      <c r="BX80" s="149"/>
      <c r="BY80" s="149"/>
      <c r="BZ80" s="149"/>
      <c r="CA80" s="149"/>
      <c r="CB80" s="149"/>
      <c r="CC80" s="149"/>
      <c r="CD80" s="149"/>
      <c r="CE80" s="149"/>
      <c r="CF80" s="149"/>
      <c r="CG80" s="149"/>
      <c r="CH80" s="149"/>
      <c r="CI80" s="149"/>
      <c r="CJ80" s="149"/>
      <c r="CK80" s="149"/>
      <c r="CL80" s="149"/>
      <c r="CM80" s="149"/>
      <c r="CN80" s="149"/>
      <c r="CO80" s="149"/>
      <c r="CP80" s="149"/>
      <c r="CQ80" s="149"/>
      <c r="CR80" s="149"/>
      <c r="CS80" s="149"/>
      <c r="CT80" s="149"/>
      <c r="CU80" s="149"/>
      <c r="CV80" s="149"/>
      <c r="CW80" s="149"/>
      <c r="CX80" s="149"/>
      <c r="CY80" s="149"/>
      <c r="CZ80" s="149"/>
      <c r="DA80" s="149"/>
      <c r="DB80" s="149"/>
      <c r="DC80" s="149"/>
      <c r="DD80" s="149"/>
      <c r="DE80" s="149"/>
      <c r="DF80" s="149"/>
      <c r="DG80" s="149"/>
      <c r="DH80" s="149"/>
      <c r="DI80" s="149"/>
      <c r="DJ80" s="149"/>
      <c r="DK80" s="149"/>
      <c r="DL80" s="149"/>
      <c r="DM80" s="149"/>
      <c r="DN80" s="149"/>
      <c r="DO80" s="149"/>
      <c r="DP80" s="149"/>
      <c r="DQ80" s="149"/>
      <c r="DR80" s="149"/>
      <c r="DS80" s="149"/>
      <c r="DT80" s="149"/>
      <c r="DU80" s="149"/>
      <c r="DV80" s="149"/>
      <c r="DW80" s="149"/>
      <c r="DX80" s="149"/>
      <c r="DY80" s="149"/>
      <c r="DZ80" s="149"/>
      <c r="EA80" s="149"/>
      <c r="EB80" s="149"/>
      <c r="EC80" s="149"/>
      <c r="ED80" s="149"/>
      <c r="EE80" s="149"/>
      <c r="EF80" s="149"/>
      <c r="EG80" s="149"/>
      <c r="EH80" s="149"/>
      <c r="EI80" s="149"/>
      <c r="EJ80" s="149"/>
      <c r="EK80" s="149"/>
      <c r="EL80" s="149"/>
      <c r="EM80" s="149"/>
      <c r="EN80" s="149"/>
      <c r="EO80" s="149"/>
      <c r="EP80" s="149"/>
      <c r="EQ80" s="149"/>
      <c r="ER80" s="149"/>
      <c r="ES80" s="149"/>
      <c r="ET80" s="149"/>
      <c r="EU80" s="149"/>
      <c r="EV80" s="149"/>
      <c r="EW80" s="149"/>
      <c r="EX80" s="149"/>
      <c r="EY80" s="149"/>
      <c r="EZ80" s="149"/>
      <c r="FA80" s="149"/>
      <c r="FB80" s="149"/>
      <c r="FC80" s="149"/>
      <c r="FD80" s="149"/>
      <c r="FE80" s="149"/>
      <c r="FF80" s="149"/>
      <c r="FG80" s="149"/>
      <c r="FH80" s="149"/>
      <c r="FI80" s="149"/>
      <c r="FJ80" s="149"/>
      <c r="FK80" s="149"/>
      <c r="FL80" s="149"/>
      <c r="FM80" s="149"/>
      <c r="FN80" s="149"/>
      <c r="FO80" s="149"/>
      <c r="FP80" s="149"/>
      <c r="FQ80" s="149"/>
      <c r="FR80" s="149"/>
      <c r="FS80" s="149"/>
      <c r="FT80" s="149"/>
      <c r="FU80" s="149"/>
      <c r="FV80" s="149"/>
      <c r="FW80" s="149"/>
      <c r="FX80" s="149"/>
      <c r="FY80" s="149"/>
      <c r="FZ80" s="149"/>
      <c r="GA80" s="149"/>
      <c r="GB80" s="149"/>
      <c r="GC80" s="149"/>
      <c r="GD80" s="149"/>
      <c r="GE80" s="149"/>
    </row>
    <row r="81" spans="1:187">
      <c r="A81" s="149"/>
      <c r="B81" s="149"/>
      <c r="C81" s="149"/>
      <c r="D81" s="149"/>
      <c r="E81" s="149"/>
      <c r="F81" s="149"/>
      <c r="G81" s="149"/>
      <c r="H81" s="149"/>
      <c r="I81" s="149"/>
      <c r="J81" s="149"/>
      <c r="K81" s="149"/>
      <c r="L81" s="149"/>
      <c r="M81" s="149"/>
      <c r="N81" s="151"/>
      <c r="O81" s="149"/>
      <c r="P81" s="149"/>
      <c r="Q81" s="149"/>
      <c r="R81" s="149"/>
      <c r="S81" s="149"/>
      <c r="T81" s="149"/>
      <c r="U81" s="149"/>
      <c r="V81" s="149"/>
      <c r="W81" s="149"/>
      <c r="X81" s="149"/>
      <c r="Y81" s="149"/>
      <c r="Z81" s="149"/>
      <c r="AA81" s="149"/>
      <c r="AB81" s="149"/>
      <c r="AC81" s="149"/>
      <c r="AD81" s="149"/>
      <c r="AE81" s="149"/>
      <c r="AF81" s="149"/>
      <c r="AG81" s="149"/>
      <c r="AH81" s="149"/>
      <c r="AI81" s="149"/>
      <c r="AJ81" s="149"/>
      <c r="AK81" s="149"/>
      <c r="AL81" s="149"/>
      <c r="AM81" s="149"/>
      <c r="AN81" s="149"/>
      <c r="AO81" s="149"/>
      <c r="AP81" s="149"/>
      <c r="AQ81" s="149"/>
      <c r="AR81" s="149"/>
      <c r="AS81" s="149"/>
      <c r="AT81" s="149"/>
      <c r="AU81" s="149"/>
      <c r="AV81" s="149"/>
      <c r="AW81" s="149"/>
      <c r="AX81" s="149"/>
      <c r="AY81" s="149"/>
      <c r="AZ81" s="149"/>
      <c r="BA81" s="149"/>
      <c r="BB81" s="149"/>
      <c r="BC81" s="149"/>
      <c r="BD81" s="149"/>
      <c r="BE81" s="151"/>
      <c r="BF81" s="149"/>
      <c r="BG81" s="149"/>
      <c r="BH81" s="149"/>
      <c r="BI81" s="149"/>
      <c r="BJ81" s="149"/>
      <c r="BK81" s="149"/>
      <c r="BL81" s="149"/>
      <c r="BM81" s="149"/>
      <c r="BN81" s="149"/>
      <c r="BO81" s="149"/>
      <c r="BP81" s="149"/>
      <c r="BQ81" s="149"/>
      <c r="BR81" s="149"/>
      <c r="BS81" s="149"/>
      <c r="BT81" s="149"/>
      <c r="BU81" s="149"/>
      <c r="BV81" s="149"/>
      <c r="BW81" s="149"/>
      <c r="BX81" s="149"/>
      <c r="BY81" s="149"/>
      <c r="BZ81" s="149"/>
      <c r="CA81" s="149"/>
      <c r="CB81" s="149"/>
      <c r="CC81" s="149"/>
      <c r="CD81" s="149"/>
      <c r="CE81" s="149"/>
      <c r="CF81" s="149"/>
      <c r="CG81" s="149"/>
      <c r="CH81" s="149"/>
      <c r="CI81" s="149"/>
      <c r="CJ81" s="149"/>
      <c r="CK81" s="149"/>
      <c r="CL81" s="149"/>
      <c r="CM81" s="149"/>
      <c r="CN81" s="149"/>
      <c r="CO81" s="149"/>
      <c r="CP81" s="149"/>
      <c r="CQ81" s="149"/>
      <c r="CR81" s="149"/>
      <c r="CS81" s="149"/>
      <c r="CT81" s="149"/>
      <c r="CU81" s="149"/>
      <c r="CV81" s="149"/>
      <c r="CW81" s="149"/>
      <c r="CX81" s="149"/>
      <c r="CY81" s="149"/>
      <c r="CZ81" s="149"/>
      <c r="DA81" s="149"/>
      <c r="DB81" s="149"/>
      <c r="DC81" s="149"/>
      <c r="DD81" s="149"/>
      <c r="DE81" s="149"/>
      <c r="DF81" s="149"/>
      <c r="DG81" s="149"/>
      <c r="DH81" s="149"/>
      <c r="DI81" s="149"/>
      <c r="DJ81" s="149"/>
      <c r="DK81" s="149"/>
      <c r="DL81" s="149"/>
      <c r="DM81" s="149"/>
      <c r="DN81" s="149"/>
      <c r="DO81" s="149"/>
      <c r="DP81" s="149"/>
      <c r="DQ81" s="149"/>
      <c r="DR81" s="149"/>
      <c r="DS81" s="149"/>
      <c r="DT81" s="149"/>
      <c r="DU81" s="149"/>
      <c r="DV81" s="149"/>
      <c r="DW81" s="149"/>
      <c r="DX81" s="149"/>
      <c r="DY81" s="149"/>
      <c r="DZ81" s="149"/>
      <c r="EA81" s="149"/>
      <c r="EB81" s="149"/>
      <c r="EC81" s="149"/>
      <c r="ED81" s="149"/>
      <c r="EE81" s="149"/>
      <c r="EF81" s="149"/>
      <c r="EG81" s="149"/>
      <c r="EH81" s="149"/>
      <c r="EI81" s="149"/>
      <c r="EJ81" s="149"/>
      <c r="EK81" s="149"/>
      <c r="EL81" s="149"/>
      <c r="EM81" s="149"/>
      <c r="EN81" s="149"/>
      <c r="EO81" s="149"/>
      <c r="EP81" s="149"/>
      <c r="EQ81" s="149"/>
      <c r="ER81" s="149"/>
      <c r="ES81" s="149"/>
      <c r="ET81" s="149"/>
      <c r="EU81" s="149"/>
      <c r="EV81" s="149"/>
      <c r="EW81" s="149"/>
      <c r="EX81" s="149"/>
      <c r="EY81" s="149"/>
      <c r="EZ81" s="149"/>
      <c r="FA81" s="149"/>
      <c r="FB81" s="149"/>
      <c r="FC81" s="149"/>
      <c r="FD81" s="149"/>
      <c r="FE81" s="149"/>
      <c r="FF81" s="149"/>
      <c r="FG81" s="149"/>
      <c r="FH81" s="149"/>
      <c r="FI81" s="149"/>
      <c r="FJ81" s="149"/>
      <c r="FK81" s="149"/>
      <c r="FL81" s="149"/>
      <c r="FM81" s="149"/>
      <c r="FN81" s="149"/>
      <c r="FO81" s="149"/>
      <c r="FP81" s="149"/>
      <c r="FQ81" s="149"/>
      <c r="FR81" s="149"/>
      <c r="FS81" s="149"/>
      <c r="FT81" s="149"/>
      <c r="FU81" s="149"/>
      <c r="FV81" s="149"/>
      <c r="FW81" s="149"/>
      <c r="FX81" s="149"/>
      <c r="FY81" s="149"/>
      <c r="FZ81" s="149"/>
      <c r="GA81" s="149"/>
      <c r="GB81" s="149"/>
      <c r="GC81" s="149"/>
      <c r="GD81" s="149"/>
      <c r="GE81" s="149"/>
    </row>
    <row r="82" spans="1:187">
      <c r="A82" s="149"/>
      <c r="B82" s="149"/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51"/>
      <c r="O82" s="149"/>
      <c r="P82" s="149"/>
      <c r="Q82" s="149"/>
      <c r="R82" s="149"/>
      <c r="S82" s="149"/>
      <c r="T82" s="149"/>
      <c r="U82" s="149"/>
      <c r="V82" s="149"/>
      <c r="W82" s="149"/>
      <c r="X82" s="149"/>
      <c r="Y82" s="149"/>
      <c r="Z82" s="149"/>
      <c r="AA82" s="149"/>
      <c r="AB82" s="149"/>
      <c r="AC82" s="149"/>
      <c r="AD82" s="149"/>
      <c r="AE82" s="149"/>
      <c r="AF82" s="149"/>
      <c r="AG82" s="149"/>
      <c r="AH82" s="149"/>
      <c r="AI82" s="149"/>
      <c r="AJ82" s="149"/>
      <c r="AK82" s="149"/>
      <c r="AL82" s="149"/>
      <c r="AM82" s="149"/>
      <c r="AN82" s="149"/>
      <c r="AO82" s="149"/>
      <c r="AP82" s="149"/>
      <c r="AQ82" s="149"/>
      <c r="AR82" s="149"/>
      <c r="AS82" s="149"/>
      <c r="AT82" s="149"/>
      <c r="AU82" s="149"/>
      <c r="AV82" s="149"/>
      <c r="AW82" s="149"/>
      <c r="AX82" s="149"/>
      <c r="AY82" s="149"/>
      <c r="AZ82" s="149"/>
      <c r="BA82" s="149"/>
      <c r="BB82" s="149"/>
      <c r="BC82" s="149"/>
      <c r="BD82" s="149"/>
      <c r="BE82" s="151"/>
      <c r="BF82" s="149"/>
      <c r="BG82" s="149"/>
      <c r="BH82" s="149"/>
      <c r="BI82" s="149"/>
      <c r="BJ82" s="149"/>
      <c r="BK82" s="149"/>
      <c r="BL82" s="149"/>
      <c r="BM82" s="149"/>
      <c r="BN82" s="149"/>
      <c r="BO82" s="149"/>
      <c r="BP82" s="149"/>
      <c r="BQ82" s="149"/>
      <c r="BR82" s="149"/>
      <c r="BS82" s="149"/>
      <c r="BT82" s="149"/>
      <c r="BU82" s="149"/>
      <c r="BV82" s="149"/>
      <c r="BW82" s="149"/>
      <c r="BX82" s="149"/>
      <c r="BY82" s="149"/>
      <c r="BZ82" s="149"/>
      <c r="CA82" s="149"/>
      <c r="CB82" s="149"/>
      <c r="CC82" s="149"/>
      <c r="CD82" s="149"/>
      <c r="CE82" s="149"/>
      <c r="CF82" s="149"/>
      <c r="CG82" s="149"/>
      <c r="CH82" s="149"/>
      <c r="CI82" s="149"/>
      <c r="CJ82" s="149"/>
      <c r="CK82" s="149"/>
      <c r="CL82" s="149"/>
      <c r="CM82" s="149"/>
      <c r="CN82" s="149"/>
      <c r="CO82" s="149"/>
      <c r="CP82" s="149"/>
      <c r="CQ82" s="149"/>
      <c r="CR82" s="149"/>
      <c r="CS82" s="149"/>
      <c r="CT82" s="149"/>
      <c r="CU82" s="149"/>
      <c r="CV82" s="149"/>
      <c r="CW82" s="149"/>
      <c r="CX82" s="149"/>
      <c r="CY82" s="149"/>
      <c r="CZ82" s="149"/>
      <c r="DA82" s="149"/>
      <c r="DB82" s="149"/>
      <c r="DC82" s="149"/>
      <c r="DD82" s="149"/>
      <c r="DE82" s="149"/>
      <c r="DF82" s="149"/>
      <c r="DG82" s="149"/>
      <c r="DH82" s="149"/>
      <c r="DI82" s="149"/>
      <c r="DJ82" s="149"/>
      <c r="DK82" s="149"/>
      <c r="DL82" s="149"/>
      <c r="DM82" s="149"/>
      <c r="DN82" s="149"/>
      <c r="DO82" s="149"/>
      <c r="DP82" s="149"/>
      <c r="DQ82" s="149"/>
      <c r="DR82" s="149"/>
      <c r="DS82" s="149"/>
      <c r="DT82" s="149"/>
      <c r="DU82" s="149"/>
      <c r="DV82" s="149"/>
      <c r="DW82" s="149"/>
      <c r="DX82" s="149"/>
      <c r="DY82" s="149"/>
      <c r="DZ82" s="149"/>
      <c r="EA82" s="149"/>
      <c r="EB82" s="149"/>
      <c r="EC82" s="149"/>
      <c r="ED82" s="149"/>
      <c r="EE82" s="149"/>
      <c r="EF82" s="149"/>
      <c r="EG82" s="149"/>
      <c r="EH82" s="149"/>
      <c r="EI82" s="149"/>
      <c r="EJ82" s="149"/>
      <c r="EK82" s="149"/>
      <c r="EL82" s="149"/>
      <c r="EM82" s="149"/>
      <c r="EN82" s="149"/>
      <c r="EO82" s="149"/>
      <c r="EP82" s="149"/>
      <c r="EQ82" s="149"/>
      <c r="ER82" s="149"/>
      <c r="ES82" s="149"/>
      <c r="ET82" s="149"/>
      <c r="EU82" s="149"/>
      <c r="EV82" s="149"/>
      <c r="EW82" s="149"/>
      <c r="EX82" s="149"/>
      <c r="EY82" s="149"/>
      <c r="EZ82" s="149"/>
      <c r="FA82" s="149"/>
      <c r="FB82" s="149"/>
      <c r="FC82" s="149"/>
      <c r="FD82" s="149"/>
      <c r="FE82" s="149"/>
      <c r="FF82" s="149"/>
      <c r="FG82" s="149"/>
      <c r="FH82" s="149"/>
      <c r="FI82" s="149"/>
      <c r="FJ82" s="149"/>
      <c r="FK82" s="149"/>
      <c r="FL82" s="149"/>
      <c r="FM82" s="149"/>
      <c r="FN82" s="149"/>
      <c r="FO82" s="149"/>
      <c r="FP82" s="149"/>
      <c r="FQ82" s="149"/>
      <c r="FR82" s="149"/>
      <c r="FS82" s="149"/>
      <c r="FT82" s="149"/>
      <c r="FU82" s="149"/>
      <c r="FV82" s="149"/>
      <c r="FW82" s="149"/>
      <c r="FX82" s="149"/>
      <c r="FY82" s="149"/>
      <c r="FZ82" s="149"/>
      <c r="GA82" s="149"/>
      <c r="GB82" s="149"/>
      <c r="GC82" s="149"/>
      <c r="GD82" s="149"/>
      <c r="GE82" s="149"/>
    </row>
    <row r="83" spans="1:187">
      <c r="A83" s="149"/>
      <c r="B83" s="149"/>
      <c r="C83" s="149"/>
      <c r="D83" s="149"/>
      <c r="E83" s="149"/>
      <c r="F83" s="149"/>
      <c r="G83" s="149"/>
      <c r="H83" s="149"/>
      <c r="I83" s="149"/>
      <c r="J83" s="149"/>
      <c r="K83" s="149"/>
      <c r="L83" s="149"/>
      <c r="M83" s="149"/>
      <c r="N83" s="151"/>
      <c r="O83" s="149"/>
      <c r="P83" s="149"/>
      <c r="Q83" s="149"/>
      <c r="R83" s="149"/>
      <c r="S83" s="149"/>
      <c r="T83" s="149"/>
      <c r="U83" s="149"/>
      <c r="V83" s="149"/>
      <c r="W83" s="149"/>
      <c r="X83" s="149"/>
      <c r="Y83" s="149"/>
      <c r="Z83" s="149"/>
      <c r="AA83" s="149"/>
      <c r="AB83" s="149"/>
      <c r="AC83" s="149"/>
      <c r="AD83" s="149"/>
      <c r="AE83" s="149"/>
      <c r="AF83" s="149"/>
      <c r="AG83" s="149"/>
      <c r="AH83" s="149"/>
      <c r="AI83" s="149"/>
      <c r="AJ83" s="149"/>
      <c r="AK83" s="149"/>
      <c r="AL83" s="149"/>
      <c r="AM83" s="149"/>
      <c r="AN83" s="149"/>
      <c r="AO83" s="149"/>
      <c r="AP83" s="149"/>
      <c r="AQ83" s="149"/>
      <c r="AR83" s="149"/>
      <c r="AS83" s="149"/>
      <c r="AT83" s="149"/>
      <c r="AU83" s="149"/>
      <c r="AV83" s="149"/>
      <c r="AW83" s="149"/>
      <c r="AX83" s="149"/>
      <c r="AY83" s="149"/>
      <c r="AZ83" s="149"/>
      <c r="BA83" s="149"/>
      <c r="BB83" s="149"/>
      <c r="BC83" s="149"/>
      <c r="BD83" s="149"/>
      <c r="BE83" s="151"/>
      <c r="BF83" s="149"/>
      <c r="BG83" s="149"/>
      <c r="BH83" s="149"/>
      <c r="BI83" s="149"/>
      <c r="BJ83" s="149"/>
      <c r="BK83" s="149"/>
      <c r="BL83" s="149"/>
      <c r="BM83" s="149"/>
      <c r="BN83" s="149"/>
      <c r="BO83" s="149"/>
      <c r="BP83" s="149"/>
      <c r="BQ83" s="149"/>
      <c r="BR83" s="149"/>
      <c r="BS83" s="149"/>
      <c r="BT83" s="149"/>
      <c r="BU83" s="149"/>
      <c r="BV83" s="149"/>
      <c r="BW83" s="149"/>
      <c r="BX83" s="149"/>
      <c r="BY83" s="149"/>
      <c r="BZ83" s="149"/>
      <c r="CA83" s="149"/>
      <c r="CB83" s="149"/>
      <c r="CC83" s="149"/>
      <c r="CD83" s="149"/>
      <c r="CE83" s="149"/>
      <c r="CF83" s="149"/>
      <c r="CG83" s="149"/>
      <c r="CH83" s="149"/>
      <c r="CI83" s="149"/>
      <c r="CJ83" s="149"/>
      <c r="CK83" s="149"/>
      <c r="CL83" s="149"/>
      <c r="CM83" s="149"/>
      <c r="CN83" s="149"/>
      <c r="CO83" s="149"/>
      <c r="CP83" s="149"/>
      <c r="CQ83" s="149"/>
      <c r="CR83" s="149"/>
      <c r="CS83" s="149"/>
      <c r="CT83" s="149"/>
      <c r="CU83" s="149"/>
      <c r="CV83" s="149"/>
      <c r="CW83" s="149"/>
      <c r="CX83" s="149"/>
      <c r="CY83" s="149"/>
      <c r="CZ83" s="149"/>
      <c r="DA83" s="149"/>
      <c r="DB83" s="149"/>
      <c r="DC83" s="149"/>
      <c r="DD83" s="149"/>
      <c r="DE83" s="149"/>
      <c r="DF83" s="149"/>
      <c r="DG83" s="149"/>
      <c r="DH83" s="149"/>
      <c r="DI83" s="149"/>
      <c r="DJ83" s="149"/>
      <c r="DK83" s="149"/>
      <c r="DL83" s="149"/>
      <c r="DM83" s="149"/>
      <c r="DN83" s="149"/>
      <c r="DO83" s="149"/>
      <c r="DP83" s="149"/>
      <c r="DQ83" s="149"/>
      <c r="DR83" s="149"/>
      <c r="DS83" s="149"/>
      <c r="DT83" s="149"/>
      <c r="DU83" s="149"/>
      <c r="DV83" s="149"/>
      <c r="DW83" s="149"/>
      <c r="DX83" s="149"/>
      <c r="DY83" s="149"/>
      <c r="DZ83" s="149"/>
      <c r="EA83" s="149"/>
      <c r="EB83" s="149"/>
      <c r="EC83" s="149"/>
      <c r="ED83" s="149"/>
      <c r="EE83" s="149"/>
      <c r="EF83" s="149"/>
      <c r="EG83" s="149"/>
      <c r="EH83" s="149"/>
      <c r="EI83" s="149"/>
      <c r="EJ83" s="149"/>
      <c r="EK83" s="149"/>
      <c r="EL83" s="149"/>
      <c r="EM83" s="149"/>
      <c r="EN83" s="149"/>
      <c r="EO83" s="149"/>
      <c r="EP83" s="149"/>
      <c r="EQ83" s="149"/>
      <c r="ER83" s="149"/>
      <c r="ES83" s="149"/>
      <c r="ET83" s="149"/>
      <c r="EU83" s="149"/>
      <c r="EV83" s="149"/>
      <c r="EW83" s="149"/>
      <c r="EX83" s="149"/>
      <c r="EY83" s="149"/>
      <c r="EZ83" s="149"/>
      <c r="FA83" s="149"/>
      <c r="FB83" s="149"/>
      <c r="FC83" s="149"/>
      <c r="FD83" s="149"/>
      <c r="FE83" s="149"/>
      <c r="FF83" s="149"/>
      <c r="FG83" s="149"/>
      <c r="FH83" s="149"/>
      <c r="FI83" s="149"/>
      <c r="FJ83" s="149"/>
      <c r="FK83" s="149"/>
      <c r="FL83" s="149"/>
      <c r="FM83" s="149"/>
      <c r="FN83" s="149"/>
      <c r="FO83" s="149"/>
      <c r="FP83" s="149"/>
      <c r="FQ83" s="149"/>
      <c r="FR83" s="149"/>
      <c r="FS83" s="149"/>
      <c r="FT83" s="149"/>
      <c r="FU83" s="149"/>
      <c r="FV83" s="149"/>
      <c r="FW83" s="149"/>
      <c r="FX83" s="149"/>
      <c r="FY83" s="149"/>
      <c r="FZ83" s="149"/>
      <c r="GA83" s="149"/>
      <c r="GB83" s="149"/>
      <c r="GC83" s="149"/>
      <c r="GD83" s="149"/>
      <c r="GE83" s="149"/>
    </row>
    <row r="84" spans="1:187">
      <c r="A84" s="149"/>
      <c r="B84" s="149"/>
      <c r="C84" s="149"/>
      <c r="D84" s="149"/>
      <c r="E84" s="149"/>
      <c r="F84" s="149"/>
      <c r="G84" s="149"/>
      <c r="H84" s="149"/>
      <c r="I84" s="149"/>
      <c r="J84" s="149"/>
      <c r="K84" s="149"/>
      <c r="L84" s="149"/>
      <c r="M84" s="149"/>
      <c r="N84" s="151"/>
      <c r="O84" s="149"/>
      <c r="P84" s="149"/>
      <c r="Q84" s="149"/>
      <c r="R84" s="149"/>
      <c r="S84" s="149"/>
      <c r="T84" s="149"/>
      <c r="U84" s="149"/>
      <c r="V84" s="149"/>
      <c r="W84" s="149"/>
      <c r="X84" s="149"/>
      <c r="Y84" s="149"/>
      <c r="Z84" s="149"/>
      <c r="AA84" s="149"/>
      <c r="AB84" s="149"/>
      <c r="AC84" s="149"/>
      <c r="AD84" s="149"/>
      <c r="AE84" s="149"/>
      <c r="AF84" s="149"/>
      <c r="AG84" s="149"/>
      <c r="AH84" s="149"/>
      <c r="AI84" s="149"/>
      <c r="AJ84" s="149"/>
      <c r="AK84" s="149"/>
      <c r="AL84" s="149"/>
      <c r="AM84" s="149"/>
      <c r="AN84" s="149"/>
      <c r="AO84" s="149"/>
      <c r="AP84" s="149"/>
      <c r="AQ84" s="149"/>
      <c r="AR84" s="149"/>
      <c r="AS84" s="149"/>
      <c r="AT84" s="149"/>
      <c r="AU84" s="149"/>
      <c r="AV84" s="149"/>
      <c r="AW84" s="149"/>
      <c r="AX84" s="149"/>
      <c r="AY84" s="149"/>
      <c r="AZ84" s="149"/>
      <c r="BA84" s="149"/>
      <c r="BB84" s="149"/>
      <c r="BC84" s="149"/>
      <c r="BD84" s="149"/>
      <c r="BE84" s="151"/>
      <c r="BF84" s="149"/>
      <c r="BG84" s="149"/>
      <c r="BH84" s="149"/>
      <c r="BI84" s="149"/>
      <c r="BJ84" s="149"/>
      <c r="BK84" s="149"/>
      <c r="BL84" s="149"/>
      <c r="BM84" s="149"/>
      <c r="BN84" s="149"/>
      <c r="BO84" s="149"/>
      <c r="BP84" s="149"/>
      <c r="BQ84" s="149"/>
      <c r="BR84" s="149"/>
      <c r="BS84" s="149"/>
      <c r="BT84" s="149"/>
      <c r="BU84" s="149"/>
      <c r="BV84" s="149"/>
      <c r="BW84" s="149"/>
      <c r="BX84" s="149"/>
      <c r="BY84" s="149"/>
      <c r="BZ84" s="149"/>
      <c r="CA84" s="149"/>
      <c r="CB84" s="149"/>
      <c r="CC84" s="149"/>
      <c r="CD84" s="149"/>
      <c r="CE84" s="149"/>
      <c r="CF84" s="149"/>
      <c r="CG84" s="149"/>
      <c r="CH84" s="149"/>
      <c r="CI84" s="149"/>
      <c r="CJ84" s="149"/>
      <c r="CK84" s="149"/>
      <c r="CL84" s="149"/>
      <c r="CM84" s="149"/>
      <c r="CN84" s="149"/>
      <c r="CO84" s="149"/>
      <c r="CP84" s="149"/>
      <c r="CQ84" s="149"/>
      <c r="CR84" s="149"/>
      <c r="CS84" s="149"/>
      <c r="CT84" s="149"/>
      <c r="CU84" s="149"/>
      <c r="CV84" s="149"/>
      <c r="CW84" s="149"/>
      <c r="CX84" s="149"/>
      <c r="CY84" s="149"/>
      <c r="CZ84" s="149"/>
      <c r="DA84" s="149"/>
      <c r="DB84" s="149"/>
      <c r="DC84" s="149"/>
      <c r="DD84" s="149"/>
      <c r="DE84" s="149"/>
      <c r="DF84" s="149"/>
      <c r="DG84" s="149"/>
      <c r="DH84" s="149"/>
      <c r="DI84" s="149"/>
      <c r="DJ84" s="149"/>
      <c r="DK84" s="149"/>
      <c r="DL84" s="149"/>
      <c r="DM84" s="149"/>
      <c r="DN84" s="149"/>
      <c r="DO84" s="149"/>
      <c r="DP84" s="149"/>
      <c r="DQ84" s="149"/>
      <c r="DR84" s="149"/>
      <c r="DS84" s="149"/>
      <c r="DT84" s="149"/>
      <c r="DU84" s="149"/>
      <c r="DV84" s="149"/>
      <c r="DW84" s="149"/>
      <c r="DX84" s="149"/>
      <c r="DY84" s="149"/>
      <c r="DZ84" s="149"/>
      <c r="EA84" s="149"/>
      <c r="EB84" s="149"/>
      <c r="EC84" s="149"/>
      <c r="ED84" s="149"/>
      <c r="EE84" s="149"/>
      <c r="EF84" s="149"/>
      <c r="EG84" s="149"/>
      <c r="EH84" s="149"/>
      <c r="EI84" s="149"/>
      <c r="EJ84" s="149"/>
      <c r="EK84" s="149"/>
      <c r="EL84" s="149"/>
      <c r="EM84" s="149"/>
      <c r="EN84" s="149"/>
      <c r="EO84" s="149"/>
      <c r="EP84" s="149"/>
      <c r="EQ84" s="149"/>
      <c r="ER84" s="149"/>
      <c r="ES84" s="149"/>
      <c r="ET84" s="149"/>
      <c r="EU84" s="149"/>
      <c r="EV84" s="149"/>
      <c r="EW84" s="149"/>
      <c r="EX84" s="149"/>
      <c r="EY84" s="149"/>
      <c r="EZ84" s="149"/>
      <c r="FA84" s="149"/>
      <c r="FB84" s="149"/>
      <c r="FC84" s="149"/>
      <c r="FD84" s="149"/>
      <c r="FE84" s="149"/>
      <c r="FF84" s="149"/>
      <c r="FG84" s="149"/>
      <c r="FH84" s="149"/>
      <c r="FI84" s="149"/>
      <c r="FJ84" s="149"/>
      <c r="FK84" s="149"/>
      <c r="FL84" s="149"/>
      <c r="FM84" s="149"/>
      <c r="FN84" s="149"/>
      <c r="FO84" s="149"/>
      <c r="FP84" s="149"/>
      <c r="FQ84" s="149"/>
      <c r="FR84" s="149"/>
      <c r="FS84" s="149"/>
      <c r="FT84" s="149"/>
      <c r="FU84" s="149"/>
      <c r="FV84" s="149"/>
      <c r="FW84" s="149"/>
      <c r="FX84" s="149"/>
      <c r="FY84" s="149"/>
      <c r="FZ84" s="149"/>
      <c r="GA84" s="149"/>
      <c r="GB84" s="149"/>
      <c r="GC84" s="149"/>
      <c r="GD84" s="149"/>
      <c r="GE84" s="149"/>
    </row>
    <row r="85" spans="1:187">
      <c r="A85" s="149"/>
      <c r="B85" s="149"/>
      <c r="C85" s="149"/>
      <c r="D85" s="149"/>
      <c r="E85" s="149"/>
      <c r="F85" s="149"/>
      <c r="G85" s="149"/>
      <c r="H85" s="149"/>
      <c r="I85" s="149"/>
      <c r="J85" s="149"/>
      <c r="K85" s="149"/>
      <c r="L85" s="149"/>
      <c r="M85" s="149"/>
      <c r="N85" s="151"/>
      <c r="O85" s="149"/>
      <c r="P85" s="149"/>
      <c r="Q85" s="149"/>
      <c r="R85" s="149"/>
      <c r="S85" s="149"/>
      <c r="T85" s="149"/>
      <c r="U85" s="149"/>
      <c r="V85" s="149"/>
      <c r="W85" s="149"/>
      <c r="X85" s="149"/>
      <c r="Y85" s="149"/>
      <c r="Z85" s="149"/>
      <c r="AA85" s="149"/>
      <c r="AB85" s="149"/>
      <c r="AC85" s="149"/>
      <c r="AD85" s="149"/>
      <c r="AE85" s="149"/>
      <c r="AF85" s="149"/>
      <c r="AG85" s="149"/>
      <c r="AH85" s="149"/>
      <c r="AI85" s="149"/>
      <c r="AJ85" s="149"/>
      <c r="AK85" s="149"/>
      <c r="AL85" s="149"/>
      <c r="AM85" s="149"/>
      <c r="AN85" s="149"/>
      <c r="AO85" s="149"/>
      <c r="AP85" s="149"/>
      <c r="AQ85" s="149"/>
      <c r="AR85" s="149"/>
      <c r="AS85" s="149"/>
      <c r="AT85" s="149"/>
      <c r="AU85" s="149"/>
      <c r="AV85" s="149"/>
      <c r="AW85" s="149"/>
      <c r="AX85" s="149"/>
      <c r="AY85" s="149"/>
      <c r="AZ85" s="149"/>
      <c r="BA85" s="149"/>
      <c r="BB85" s="149"/>
      <c r="BC85" s="149"/>
      <c r="BD85" s="149"/>
      <c r="BE85" s="151"/>
      <c r="BF85" s="149"/>
      <c r="BG85" s="149"/>
      <c r="BH85" s="149"/>
      <c r="BI85" s="149"/>
      <c r="BJ85" s="149"/>
      <c r="BK85" s="149"/>
      <c r="BL85" s="149"/>
      <c r="BM85" s="149"/>
      <c r="BN85" s="149"/>
      <c r="BO85" s="149"/>
      <c r="BP85" s="149"/>
      <c r="BQ85" s="149"/>
      <c r="BR85" s="149"/>
      <c r="BS85" s="149"/>
      <c r="BT85" s="149"/>
      <c r="BU85" s="149"/>
      <c r="BV85" s="149"/>
      <c r="BW85" s="149"/>
      <c r="BX85" s="149"/>
      <c r="BY85" s="149"/>
      <c r="BZ85" s="149"/>
      <c r="CA85" s="149"/>
      <c r="CB85" s="149"/>
      <c r="CC85" s="149"/>
      <c r="CD85" s="149"/>
      <c r="CE85" s="149"/>
      <c r="CF85" s="149"/>
      <c r="CG85" s="149"/>
      <c r="CH85" s="149"/>
      <c r="CI85" s="149"/>
      <c r="CJ85" s="149"/>
      <c r="CK85" s="149"/>
      <c r="CL85" s="149"/>
      <c r="CM85" s="149"/>
      <c r="CN85" s="149"/>
      <c r="CO85" s="149"/>
      <c r="CP85" s="149"/>
      <c r="CQ85" s="149"/>
      <c r="CR85" s="149"/>
      <c r="CS85" s="149"/>
      <c r="CT85" s="149"/>
      <c r="CU85" s="149"/>
      <c r="CV85" s="149"/>
      <c r="CW85" s="149"/>
      <c r="CX85" s="149"/>
      <c r="CY85" s="149"/>
      <c r="CZ85" s="149"/>
      <c r="DA85" s="149"/>
      <c r="DB85" s="149"/>
      <c r="DC85" s="149"/>
      <c r="DD85" s="149"/>
      <c r="DE85" s="149"/>
      <c r="DF85" s="149"/>
      <c r="DG85" s="149"/>
      <c r="DH85" s="149"/>
      <c r="DI85" s="149"/>
      <c r="DJ85" s="149"/>
      <c r="DK85" s="149"/>
      <c r="DL85" s="149"/>
      <c r="DM85" s="149"/>
      <c r="DN85" s="149"/>
      <c r="DO85" s="149"/>
      <c r="DP85" s="149"/>
      <c r="DQ85" s="149"/>
      <c r="DR85" s="149"/>
      <c r="DS85" s="149"/>
      <c r="DT85" s="149"/>
      <c r="DU85" s="149"/>
      <c r="DV85" s="149"/>
      <c r="DW85" s="149"/>
      <c r="DX85" s="149"/>
      <c r="DY85" s="149"/>
      <c r="DZ85" s="149"/>
      <c r="EA85" s="149"/>
      <c r="EB85" s="149"/>
      <c r="EC85" s="149"/>
      <c r="ED85" s="149"/>
      <c r="EE85" s="149"/>
      <c r="EF85" s="149"/>
      <c r="EG85" s="149"/>
      <c r="EH85" s="149"/>
      <c r="EI85" s="149"/>
      <c r="EJ85" s="149"/>
      <c r="EK85" s="149"/>
      <c r="EL85" s="149"/>
      <c r="EM85" s="149"/>
      <c r="EN85" s="149"/>
      <c r="EO85" s="149"/>
      <c r="EP85" s="149"/>
      <c r="EQ85" s="149"/>
      <c r="ER85" s="149"/>
      <c r="ES85" s="149"/>
      <c r="ET85" s="149"/>
      <c r="EU85" s="149"/>
      <c r="EV85" s="149"/>
      <c r="EW85" s="149"/>
      <c r="EX85" s="149"/>
      <c r="EY85" s="149"/>
      <c r="EZ85" s="149"/>
      <c r="FA85" s="149"/>
      <c r="FB85" s="149"/>
      <c r="FC85" s="149"/>
      <c r="FD85" s="149"/>
      <c r="FE85" s="149"/>
      <c r="FF85" s="149"/>
      <c r="FG85" s="149"/>
      <c r="FH85" s="149"/>
      <c r="FI85" s="149"/>
      <c r="FJ85" s="149"/>
      <c r="FK85" s="149"/>
      <c r="FL85" s="149"/>
      <c r="FM85" s="149"/>
      <c r="FN85" s="149"/>
      <c r="FO85" s="149"/>
      <c r="FP85" s="149"/>
      <c r="FQ85" s="149"/>
      <c r="FR85" s="149"/>
      <c r="FS85" s="149"/>
      <c r="FT85" s="149"/>
      <c r="FU85" s="149"/>
      <c r="FV85" s="149"/>
      <c r="FW85" s="149"/>
      <c r="FX85" s="149"/>
      <c r="FY85" s="149"/>
      <c r="FZ85" s="149"/>
      <c r="GA85" s="149"/>
      <c r="GB85" s="149"/>
      <c r="GC85" s="149"/>
      <c r="GD85" s="149"/>
      <c r="GE85" s="149"/>
    </row>
    <row r="86" spans="1:187">
      <c r="A86" s="149"/>
      <c r="B86" s="149"/>
      <c r="C86" s="149"/>
      <c r="D86" s="149"/>
      <c r="E86" s="149"/>
      <c r="F86" s="149"/>
      <c r="G86" s="149"/>
      <c r="H86" s="149"/>
      <c r="I86" s="149"/>
      <c r="J86" s="149"/>
      <c r="K86" s="149"/>
      <c r="L86" s="149"/>
      <c r="M86" s="149"/>
      <c r="N86" s="151"/>
      <c r="O86" s="149"/>
      <c r="P86" s="149"/>
      <c r="Q86" s="149"/>
      <c r="R86" s="149"/>
      <c r="S86" s="149"/>
      <c r="T86" s="149"/>
      <c r="U86" s="149"/>
      <c r="V86" s="149"/>
      <c r="W86" s="149"/>
      <c r="X86" s="149"/>
      <c r="Y86" s="149"/>
      <c r="Z86" s="149"/>
      <c r="AA86" s="149"/>
      <c r="AB86" s="149"/>
      <c r="AC86" s="149"/>
      <c r="AD86" s="149"/>
      <c r="AE86" s="149"/>
      <c r="AF86" s="149"/>
      <c r="AG86" s="149"/>
      <c r="AH86" s="149"/>
      <c r="AI86" s="149"/>
      <c r="AJ86" s="149"/>
      <c r="AK86" s="149"/>
      <c r="AL86" s="149"/>
      <c r="AM86" s="149"/>
      <c r="AN86" s="149"/>
      <c r="AO86" s="149"/>
      <c r="AP86" s="149"/>
      <c r="AQ86" s="149"/>
      <c r="AR86" s="149"/>
      <c r="AS86" s="149"/>
      <c r="AT86" s="149"/>
      <c r="AU86" s="149"/>
      <c r="AV86" s="149"/>
      <c r="AW86" s="149"/>
      <c r="AX86" s="149"/>
      <c r="AY86" s="149"/>
      <c r="AZ86" s="149"/>
      <c r="BA86" s="149"/>
      <c r="BB86" s="149"/>
      <c r="BC86" s="149"/>
      <c r="BD86" s="149"/>
      <c r="BE86" s="151"/>
      <c r="BF86" s="149"/>
      <c r="BG86" s="149"/>
      <c r="BH86" s="149"/>
      <c r="BI86" s="149"/>
      <c r="BJ86" s="149"/>
      <c r="BK86" s="149"/>
      <c r="BL86" s="149"/>
      <c r="BM86" s="149"/>
      <c r="BN86" s="149"/>
      <c r="BO86" s="149"/>
      <c r="BP86" s="149"/>
      <c r="BQ86" s="149"/>
      <c r="BR86" s="149"/>
      <c r="BS86" s="149"/>
      <c r="BT86" s="149"/>
      <c r="BU86" s="149"/>
      <c r="BV86" s="149"/>
      <c r="BW86" s="149"/>
      <c r="BX86" s="149"/>
      <c r="BY86" s="149"/>
      <c r="BZ86" s="149"/>
      <c r="CA86" s="149"/>
      <c r="CB86" s="149"/>
      <c r="CC86" s="149"/>
      <c r="CD86" s="149"/>
      <c r="CE86" s="149"/>
      <c r="CF86" s="149"/>
      <c r="CG86" s="149"/>
      <c r="CH86" s="149"/>
      <c r="CI86" s="149"/>
      <c r="CJ86" s="149"/>
      <c r="CK86" s="149"/>
      <c r="CL86" s="149"/>
      <c r="CM86" s="149"/>
      <c r="CN86" s="149"/>
      <c r="CO86" s="149"/>
      <c r="CP86" s="149"/>
      <c r="CQ86" s="149"/>
      <c r="CR86" s="149"/>
      <c r="CS86" s="149"/>
      <c r="CT86" s="149"/>
      <c r="CU86" s="149"/>
      <c r="CV86" s="149"/>
      <c r="CW86" s="149"/>
      <c r="CX86" s="149"/>
      <c r="CY86" s="149"/>
      <c r="CZ86" s="149"/>
      <c r="DA86" s="149"/>
      <c r="DB86" s="149"/>
      <c r="DC86" s="149"/>
      <c r="DD86" s="149"/>
      <c r="DE86" s="149"/>
      <c r="DF86" s="149"/>
      <c r="DG86" s="149"/>
      <c r="DH86" s="149"/>
      <c r="DI86" s="149"/>
      <c r="DJ86" s="149"/>
      <c r="DK86" s="149"/>
      <c r="DL86" s="149"/>
      <c r="DM86" s="149"/>
      <c r="DN86" s="149"/>
      <c r="DO86" s="149"/>
      <c r="DP86" s="149"/>
      <c r="DQ86" s="149"/>
      <c r="DR86" s="149"/>
      <c r="DS86" s="149"/>
      <c r="DT86" s="149"/>
      <c r="DU86" s="149"/>
      <c r="DV86" s="149"/>
      <c r="DW86" s="149"/>
      <c r="DX86" s="149"/>
      <c r="DY86" s="149"/>
      <c r="DZ86" s="149"/>
      <c r="EA86" s="149"/>
      <c r="EB86" s="149"/>
      <c r="EC86" s="149"/>
      <c r="ED86" s="149"/>
      <c r="EE86" s="149"/>
      <c r="EF86" s="149"/>
      <c r="EG86" s="149"/>
      <c r="EH86" s="149"/>
      <c r="EI86" s="149"/>
      <c r="EJ86" s="149"/>
      <c r="EK86" s="149"/>
      <c r="EL86" s="149"/>
      <c r="EM86" s="149"/>
      <c r="EN86" s="149"/>
      <c r="EO86" s="149"/>
      <c r="EP86" s="149"/>
      <c r="EQ86" s="149"/>
      <c r="ER86" s="149"/>
      <c r="ES86" s="149"/>
      <c r="ET86" s="149"/>
      <c r="EU86" s="149"/>
      <c r="EV86" s="149"/>
      <c r="EW86" s="149"/>
      <c r="EX86" s="149"/>
      <c r="EY86" s="149"/>
      <c r="EZ86" s="149"/>
      <c r="FA86" s="149"/>
      <c r="FB86" s="149"/>
      <c r="FC86" s="149"/>
      <c r="FD86" s="149"/>
      <c r="FE86" s="149"/>
      <c r="FF86" s="149"/>
      <c r="FG86" s="149"/>
      <c r="FH86" s="149"/>
      <c r="FI86" s="149"/>
      <c r="FJ86" s="149"/>
      <c r="FK86" s="149"/>
      <c r="FL86" s="149"/>
      <c r="FM86" s="149"/>
      <c r="FN86" s="149"/>
      <c r="FO86" s="149"/>
      <c r="FP86" s="149"/>
      <c r="FQ86" s="149"/>
      <c r="FR86" s="149"/>
      <c r="FS86" s="149"/>
      <c r="FT86" s="149"/>
      <c r="FU86" s="149"/>
      <c r="FV86" s="149"/>
      <c r="FW86" s="149"/>
      <c r="FX86" s="149"/>
      <c r="FY86" s="149"/>
      <c r="FZ86" s="149"/>
      <c r="GA86" s="149"/>
      <c r="GB86" s="149"/>
      <c r="GC86" s="149"/>
      <c r="GD86" s="149"/>
      <c r="GE86" s="149"/>
    </row>
    <row r="87" spans="1:187">
      <c r="A87" s="149"/>
      <c r="B87" s="149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51"/>
      <c r="O87" s="149"/>
      <c r="P87" s="149"/>
      <c r="Q87" s="149"/>
      <c r="R87" s="149"/>
      <c r="S87" s="149"/>
      <c r="T87" s="149"/>
      <c r="U87" s="149"/>
      <c r="V87" s="149"/>
      <c r="W87" s="149"/>
      <c r="X87" s="149"/>
      <c r="Y87" s="149"/>
      <c r="Z87" s="149"/>
      <c r="AA87" s="149"/>
      <c r="AB87" s="149"/>
      <c r="AC87" s="149"/>
      <c r="AD87" s="149"/>
      <c r="AE87" s="149"/>
      <c r="AF87" s="149"/>
      <c r="AG87" s="149"/>
      <c r="AH87" s="149"/>
      <c r="AI87" s="149"/>
      <c r="AJ87" s="149"/>
      <c r="AK87" s="149"/>
      <c r="AL87" s="149"/>
      <c r="AM87" s="149"/>
      <c r="AN87" s="149"/>
      <c r="AO87" s="149"/>
      <c r="AP87" s="149"/>
      <c r="AQ87" s="149"/>
      <c r="AR87" s="149"/>
      <c r="AS87" s="149"/>
      <c r="AT87" s="149"/>
      <c r="AU87" s="149"/>
      <c r="AV87" s="149"/>
      <c r="AW87" s="149"/>
      <c r="AX87" s="149"/>
      <c r="AY87" s="149"/>
      <c r="AZ87" s="149"/>
      <c r="BA87" s="149"/>
      <c r="BB87" s="149"/>
      <c r="BC87" s="149"/>
      <c r="BD87" s="149"/>
      <c r="BE87" s="151"/>
      <c r="BF87" s="149"/>
      <c r="BG87" s="149"/>
      <c r="BH87" s="149"/>
      <c r="BI87" s="149"/>
      <c r="BJ87" s="149"/>
      <c r="BK87" s="149"/>
      <c r="BL87" s="149"/>
      <c r="BM87" s="149"/>
      <c r="BN87" s="149"/>
      <c r="BO87" s="149"/>
      <c r="BP87" s="149"/>
      <c r="BQ87" s="149"/>
      <c r="BR87" s="149"/>
      <c r="BS87" s="149"/>
      <c r="BT87" s="149"/>
      <c r="BU87" s="149"/>
      <c r="BV87" s="149"/>
      <c r="BW87" s="149"/>
      <c r="BX87" s="149"/>
      <c r="BY87" s="149"/>
      <c r="BZ87" s="149"/>
      <c r="CA87" s="149"/>
      <c r="CB87" s="149"/>
      <c r="CC87" s="149"/>
      <c r="CD87" s="149"/>
      <c r="CE87" s="149"/>
      <c r="CF87" s="149"/>
      <c r="CG87" s="149"/>
      <c r="CH87" s="149"/>
      <c r="CI87" s="149"/>
      <c r="CJ87" s="149"/>
      <c r="CK87" s="149"/>
      <c r="CL87" s="149"/>
      <c r="CM87" s="149"/>
      <c r="CN87" s="149"/>
      <c r="CO87" s="149"/>
      <c r="CP87" s="149"/>
      <c r="CQ87" s="149"/>
      <c r="CR87" s="149"/>
      <c r="CS87" s="149"/>
      <c r="CT87" s="149"/>
      <c r="CU87" s="149"/>
      <c r="CV87" s="149"/>
      <c r="CW87" s="149"/>
      <c r="CX87" s="149"/>
      <c r="CY87" s="149"/>
      <c r="CZ87" s="149"/>
      <c r="DA87" s="149"/>
      <c r="DB87" s="149"/>
      <c r="DC87" s="149"/>
      <c r="DD87" s="149"/>
      <c r="DE87" s="149"/>
      <c r="DF87" s="149"/>
      <c r="DG87" s="149"/>
      <c r="DH87" s="149"/>
      <c r="DI87" s="149"/>
      <c r="DJ87" s="149"/>
      <c r="DK87" s="149"/>
      <c r="DL87" s="149"/>
      <c r="DM87" s="149"/>
      <c r="DN87" s="149"/>
      <c r="DO87" s="149"/>
      <c r="DP87" s="149"/>
      <c r="DQ87" s="149"/>
      <c r="DR87" s="149"/>
      <c r="DS87" s="149"/>
      <c r="DT87" s="149"/>
      <c r="DU87" s="149"/>
      <c r="DV87" s="149"/>
      <c r="DW87" s="149"/>
      <c r="DX87" s="149"/>
      <c r="DY87" s="149"/>
      <c r="DZ87" s="149"/>
      <c r="EA87" s="149"/>
      <c r="EB87" s="149"/>
      <c r="EC87" s="149"/>
      <c r="ED87" s="149"/>
      <c r="EE87" s="149"/>
      <c r="EF87" s="149"/>
      <c r="EG87" s="149"/>
      <c r="EH87" s="149"/>
      <c r="EI87" s="149"/>
      <c r="EJ87" s="149"/>
      <c r="EK87" s="149"/>
      <c r="EL87" s="149"/>
      <c r="EM87" s="149"/>
      <c r="EN87" s="149"/>
      <c r="EO87" s="149"/>
      <c r="EP87" s="149"/>
      <c r="EQ87" s="149"/>
      <c r="ER87" s="149"/>
      <c r="ES87" s="149"/>
      <c r="ET87" s="149"/>
      <c r="EU87" s="149"/>
      <c r="EV87" s="149"/>
      <c r="EW87" s="149"/>
      <c r="EX87" s="149"/>
      <c r="EY87" s="149"/>
      <c r="EZ87" s="149"/>
      <c r="FA87" s="149"/>
      <c r="FB87" s="149"/>
      <c r="FC87" s="149"/>
      <c r="FD87" s="149"/>
      <c r="FE87" s="149"/>
      <c r="FF87" s="149"/>
      <c r="FG87" s="149"/>
      <c r="FH87" s="149"/>
      <c r="FI87" s="149"/>
      <c r="FJ87" s="149"/>
      <c r="FK87" s="149"/>
      <c r="FL87" s="149"/>
      <c r="FM87" s="149"/>
      <c r="FN87" s="149"/>
      <c r="FO87" s="149"/>
      <c r="FP87" s="149"/>
      <c r="FQ87" s="149"/>
      <c r="FR87" s="149"/>
      <c r="FS87" s="149"/>
      <c r="FT87" s="149"/>
      <c r="FU87" s="149"/>
      <c r="FV87" s="149"/>
      <c r="FW87" s="149"/>
      <c r="FX87" s="149"/>
      <c r="FY87" s="149"/>
      <c r="FZ87" s="149"/>
      <c r="GA87" s="149"/>
      <c r="GB87" s="149"/>
      <c r="GC87" s="149"/>
      <c r="GD87" s="149"/>
      <c r="GE87" s="149"/>
    </row>
    <row r="88" spans="1:187">
      <c r="A88" s="149"/>
      <c r="B88" s="149"/>
      <c r="C88" s="149"/>
      <c r="D88" s="149"/>
      <c r="E88" s="149"/>
      <c r="F88" s="149"/>
      <c r="G88" s="149"/>
      <c r="H88" s="149"/>
      <c r="I88" s="149"/>
      <c r="J88" s="149"/>
      <c r="K88" s="149"/>
      <c r="L88" s="149"/>
      <c r="M88" s="149"/>
      <c r="N88" s="151"/>
      <c r="O88" s="149"/>
      <c r="P88" s="149"/>
      <c r="Q88" s="149"/>
      <c r="R88" s="149"/>
      <c r="S88" s="149"/>
      <c r="T88" s="149"/>
      <c r="U88" s="149"/>
      <c r="V88" s="149"/>
      <c r="W88" s="149"/>
      <c r="X88" s="149"/>
      <c r="Y88" s="149"/>
      <c r="Z88" s="149"/>
      <c r="AA88" s="149"/>
      <c r="AB88" s="149"/>
      <c r="AC88" s="149"/>
      <c r="AD88" s="149"/>
      <c r="AE88" s="149"/>
      <c r="AF88" s="149"/>
      <c r="AG88" s="149"/>
      <c r="AH88" s="149"/>
      <c r="AI88" s="149"/>
      <c r="AJ88" s="149"/>
      <c r="AK88" s="149"/>
      <c r="AL88" s="149"/>
      <c r="AM88" s="149"/>
      <c r="AN88" s="149"/>
      <c r="AO88" s="149"/>
      <c r="AP88" s="149"/>
      <c r="AQ88" s="149"/>
      <c r="AR88" s="149"/>
      <c r="AS88" s="149"/>
      <c r="AT88" s="149"/>
      <c r="AU88" s="149"/>
      <c r="AV88" s="149"/>
      <c r="AW88" s="149"/>
      <c r="AX88" s="149"/>
      <c r="AY88" s="149"/>
      <c r="AZ88" s="149"/>
      <c r="BA88" s="149"/>
      <c r="BB88" s="149"/>
      <c r="BC88" s="149"/>
      <c r="BD88" s="149"/>
      <c r="BE88" s="151"/>
      <c r="BF88" s="149"/>
      <c r="BG88" s="149"/>
      <c r="BH88" s="149"/>
      <c r="BI88" s="149"/>
      <c r="BJ88" s="149"/>
      <c r="BK88" s="149"/>
      <c r="BL88" s="149"/>
      <c r="BM88" s="149"/>
      <c r="BN88" s="149"/>
      <c r="BO88" s="149"/>
      <c r="BP88" s="149"/>
      <c r="BQ88" s="149"/>
      <c r="BR88" s="149"/>
      <c r="BS88" s="149"/>
      <c r="BT88" s="149"/>
      <c r="BU88" s="149"/>
      <c r="BV88" s="149"/>
      <c r="BW88" s="149"/>
      <c r="BX88" s="149"/>
      <c r="BY88" s="149"/>
      <c r="BZ88" s="149"/>
      <c r="CA88" s="149"/>
      <c r="CB88" s="149"/>
      <c r="CC88" s="149"/>
      <c r="CD88" s="149"/>
      <c r="CE88" s="149"/>
      <c r="CF88" s="149"/>
      <c r="CG88" s="149"/>
      <c r="CH88" s="149"/>
      <c r="CI88" s="149"/>
      <c r="CJ88" s="149"/>
      <c r="CK88" s="149"/>
      <c r="CL88" s="149"/>
      <c r="CM88" s="149"/>
      <c r="CN88" s="149"/>
      <c r="CO88" s="149"/>
      <c r="CP88" s="149"/>
      <c r="CQ88" s="149"/>
      <c r="CR88" s="149"/>
      <c r="CS88" s="149"/>
      <c r="CT88" s="149"/>
      <c r="CU88" s="149"/>
      <c r="CV88" s="149"/>
      <c r="CW88" s="149"/>
      <c r="CX88" s="149"/>
      <c r="CY88" s="149"/>
      <c r="CZ88" s="149"/>
      <c r="DA88" s="149"/>
      <c r="DB88" s="149"/>
      <c r="DC88" s="149"/>
      <c r="DD88" s="149"/>
      <c r="DE88" s="149"/>
      <c r="DF88" s="149"/>
      <c r="DG88" s="149"/>
      <c r="DH88" s="149"/>
      <c r="DI88" s="149"/>
      <c r="DJ88" s="149"/>
      <c r="DK88" s="149"/>
      <c r="DL88" s="149"/>
      <c r="DM88" s="149"/>
      <c r="DN88" s="149"/>
      <c r="DO88" s="149"/>
      <c r="DP88" s="149"/>
      <c r="DQ88" s="149"/>
      <c r="DR88" s="149"/>
      <c r="DS88" s="149"/>
      <c r="DT88" s="149"/>
      <c r="DU88" s="149"/>
      <c r="DV88" s="149"/>
      <c r="DW88" s="149"/>
      <c r="DX88" s="149"/>
      <c r="DY88" s="149"/>
      <c r="DZ88" s="149"/>
      <c r="EA88" s="149"/>
      <c r="EB88" s="149"/>
      <c r="EC88" s="149"/>
      <c r="ED88" s="149"/>
      <c r="EE88" s="149"/>
      <c r="EF88" s="149"/>
      <c r="EG88" s="149"/>
      <c r="EH88" s="149"/>
      <c r="EI88" s="149"/>
      <c r="EJ88" s="149"/>
      <c r="EK88" s="149"/>
      <c r="EL88" s="149"/>
      <c r="EM88" s="149"/>
      <c r="EN88" s="149"/>
      <c r="EO88" s="149"/>
      <c r="EP88" s="149"/>
      <c r="EQ88" s="149"/>
      <c r="ER88" s="149"/>
      <c r="ES88" s="149"/>
      <c r="ET88" s="149"/>
      <c r="EU88" s="149"/>
      <c r="EV88" s="149"/>
      <c r="EW88" s="149"/>
      <c r="EX88" s="149"/>
      <c r="EY88" s="149"/>
      <c r="EZ88" s="149"/>
      <c r="FA88" s="149"/>
      <c r="FB88" s="149"/>
      <c r="FC88" s="149"/>
      <c r="FD88" s="149"/>
      <c r="FE88" s="149"/>
      <c r="FF88" s="149"/>
      <c r="FG88" s="149"/>
      <c r="FH88" s="149"/>
      <c r="FI88" s="149"/>
      <c r="FJ88" s="149"/>
      <c r="FK88" s="149"/>
      <c r="FL88" s="149"/>
      <c r="FM88" s="149"/>
      <c r="FN88" s="149"/>
      <c r="FO88" s="149"/>
      <c r="FP88" s="149"/>
      <c r="FQ88" s="149"/>
      <c r="FR88" s="149"/>
      <c r="FS88" s="149"/>
      <c r="FT88" s="149"/>
      <c r="FU88" s="149"/>
      <c r="FV88" s="149"/>
      <c r="FW88" s="149"/>
      <c r="FX88" s="149"/>
      <c r="FY88" s="149"/>
      <c r="FZ88" s="149"/>
      <c r="GA88" s="149"/>
      <c r="GB88" s="149"/>
      <c r="GC88" s="149"/>
      <c r="GD88" s="149"/>
      <c r="GE88" s="149"/>
    </row>
    <row r="89" spans="1:187">
      <c r="A89" s="149"/>
      <c r="B89" s="149"/>
      <c r="C89" s="149"/>
      <c r="D89" s="149"/>
      <c r="E89" s="149"/>
      <c r="F89" s="149"/>
      <c r="G89" s="149"/>
      <c r="H89" s="149"/>
      <c r="I89" s="149"/>
      <c r="J89" s="149"/>
      <c r="K89" s="149"/>
      <c r="L89" s="149"/>
      <c r="M89" s="149"/>
      <c r="N89" s="151"/>
      <c r="O89" s="149"/>
      <c r="P89" s="149"/>
      <c r="Q89" s="149"/>
      <c r="R89" s="149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49"/>
      <c r="AE89" s="149"/>
      <c r="AF89" s="149"/>
      <c r="AG89" s="149"/>
      <c r="AH89" s="149"/>
      <c r="AI89" s="149"/>
      <c r="AJ89" s="149"/>
      <c r="AK89" s="149"/>
      <c r="AL89" s="149"/>
      <c r="AM89" s="149"/>
      <c r="AN89" s="149"/>
      <c r="AO89" s="149"/>
      <c r="AP89" s="149"/>
      <c r="AQ89" s="149"/>
      <c r="AR89" s="149"/>
      <c r="AS89" s="149"/>
      <c r="AT89" s="149"/>
      <c r="AU89" s="149"/>
      <c r="AV89" s="149"/>
      <c r="AW89" s="149"/>
      <c r="AX89" s="149"/>
      <c r="AY89" s="149"/>
      <c r="AZ89" s="149"/>
      <c r="BA89" s="149"/>
      <c r="BB89" s="149"/>
      <c r="BC89" s="149"/>
      <c r="BD89" s="149"/>
      <c r="BE89" s="151"/>
      <c r="BF89" s="149"/>
      <c r="BG89" s="149"/>
      <c r="BH89" s="149"/>
      <c r="BI89" s="149"/>
      <c r="BJ89" s="149"/>
      <c r="BK89" s="149"/>
      <c r="BL89" s="149"/>
      <c r="BM89" s="149"/>
      <c r="BN89" s="149"/>
      <c r="BO89" s="149"/>
      <c r="BP89" s="149"/>
      <c r="BQ89" s="149"/>
      <c r="BR89" s="149"/>
      <c r="BS89" s="149"/>
      <c r="BT89" s="149"/>
      <c r="BU89" s="149"/>
      <c r="BV89" s="149"/>
      <c r="BW89" s="149"/>
      <c r="BX89" s="149"/>
      <c r="BY89" s="149"/>
      <c r="BZ89" s="149"/>
      <c r="CA89" s="149"/>
      <c r="CB89" s="149"/>
      <c r="CC89" s="149"/>
      <c r="CD89" s="149"/>
      <c r="CE89" s="149"/>
      <c r="CF89" s="149"/>
      <c r="CG89" s="149"/>
      <c r="CH89" s="149"/>
      <c r="CI89" s="149"/>
      <c r="CJ89" s="149"/>
      <c r="CK89" s="149"/>
      <c r="CL89" s="149"/>
      <c r="CM89" s="149"/>
      <c r="CN89" s="149"/>
      <c r="CO89" s="149"/>
      <c r="CP89" s="149"/>
      <c r="CQ89" s="149"/>
      <c r="CR89" s="149"/>
      <c r="CS89" s="149"/>
      <c r="CT89" s="149"/>
      <c r="CU89" s="149"/>
      <c r="CV89" s="149"/>
      <c r="CW89" s="149"/>
      <c r="CX89" s="149"/>
      <c r="CY89" s="149"/>
      <c r="CZ89" s="149"/>
      <c r="DA89" s="149"/>
      <c r="DB89" s="149"/>
      <c r="DC89" s="149"/>
      <c r="DD89" s="149"/>
      <c r="DE89" s="149"/>
      <c r="DF89" s="149"/>
      <c r="DG89" s="149"/>
      <c r="DH89" s="149"/>
      <c r="DI89" s="149"/>
      <c r="DJ89" s="149"/>
      <c r="DK89" s="149"/>
      <c r="DL89" s="149"/>
      <c r="DM89" s="149"/>
      <c r="DN89" s="149"/>
      <c r="DO89" s="149"/>
      <c r="DP89" s="149"/>
      <c r="DQ89" s="149"/>
      <c r="DR89" s="149"/>
      <c r="DS89" s="149"/>
      <c r="DT89" s="149"/>
      <c r="DU89" s="149"/>
      <c r="DV89" s="149"/>
      <c r="DW89" s="149"/>
      <c r="DX89" s="149"/>
      <c r="DY89" s="149"/>
      <c r="DZ89" s="149"/>
      <c r="EA89" s="149"/>
      <c r="EB89" s="149"/>
      <c r="EC89" s="149"/>
      <c r="ED89" s="149"/>
      <c r="EE89" s="149"/>
      <c r="EF89" s="149"/>
      <c r="EG89" s="149"/>
      <c r="EH89" s="149"/>
      <c r="EI89" s="149"/>
      <c r="EJ89" s="149"/>
      <c r="EK89" s="149"/>
      <c r="EL89" s="149"/>
      <c r="EM89" s="149"/>
      <c r="EN89" s="149"/>
      <c r="EO89" s="149"/>
      <c r="EP89" s="149"/>
      <c r="EQ89" s="149"/>
      <c r="ER89" s="149"/>
      <c r="ES89" s="149"/>
      <c r="ET89" s="149"/>
      <c r="EU89" s="149"/>
      <c r="EV89" s="149"/>
      <c r="EW89" s="149"/>
      <c r="EX89" s="149"/>
      <c r="EY89" s="149"/>
      <c r="EZ89" s="149"/>
      <c r="FA89" s="149"/>
      <c r="FB89" s="149"/>
      <c r="FC89" s="149"/>
      <c r="FD89" s="149"/>
      <c r="FE89" s="149"/>
      <c r="FF89" s="149"/>
      <c r="FG89" s="149"/>
      <c r="FH89" s="149"/>
      <c r="FI89" s="149"/>
      <c r="FJ89" s="149"/>
      <c r="FK89" s="149"/>
      <c r="FL89" s="149"/>
      <c r="FM89" s="149"/>
      <c r="FN89" s="149"/>
      <c r="FO89" s="149"/>
      <c r="FP89" s="149"/>
      <c r="FQ89" s="149"/>
      <c r="FR89" s="149"/>
      <c r="FS89" s="149"/>
      <c r="FT89" s="149"/>
      <c r="FU89" s="149"/>
      <c r="FV89" s="149"/>
      <c r="FW89" s="149"/>
      <c r="FX89" s="149"/>
      <c r="FY89" s="149"/>
      <c r="FZ89" s="149"/>
      <c r="GA89" s="149"/>
      <c r="GB89" s="149"/>
      <c r="GC89" s="149"/>
      <c r="GD89" s="149"/>
      <c r="GE89" s="149"/>
    </row>
    <row r="90" spans="1:187">
      <c r="A90" s="149"/>
      <c r="B90" s="149"/>
      <c r="C90" s="149"/>
      <c r="D90" s="149"/>
      <c r="E90" s="149"/>
      <c r="F90" s="149"/>
      <c r="G90" s="149"/>
      <c r="H90" s="149"/>
      <c r="I90" s="149"/>
      <c r="J90" s="149"/>
      <c r="K90" s="149"/>
      <c r="L90" s="149"/>
      <c r="M90" s="149"/>
      <c r="N90" s="151"/>
      <c r="O90" s="149"/>
      <c r="P90" s="149"/>
      <c r="Q90" s="149"/>
      <c r="R90" s="149"/>
      <c r="S90" s="149"/>
      <c r="T90" s="149"/>
      <c r="U90" s="149"/>
      <c r="V90" s="149"/>
      <c r="W90" s="149"/>
      <c r="X90" s="149"/>
      <c r="Y90" s="149"/>
      <c r="Z90" s="149"/>
      <c r="AA90" s="149"/>
      <c r="AB90" s="149"/>
      <c r="AC90" s="149"/>
      <c r="AD90" s="149"/>
      <c r="AE90" s="149"/>
      <c r="AF90" s="149"/>
      <c r="AG90" s="149"/>
      <c r="AH90" s="149"/>
      <c r="AI90" s="149"/>
      <c r="AJ90" s="149"/>
      <c r="AK90" s="149"/>
      <c r="AL90" s="149"/>
      <c r="AM90" s="149"/>
      <c r="AN90" s="149"/>
      <c r="AO90" s="149"/>
      <c r="AP90" s="149"/>
      <c r="AQ90" s="149"/>
      <c r="AR90" s="149"/>
      <c r="AS90" s="149"/>
      <c r="AT90" s="149"/>
      <c r="AU90" s="149"/>
      <c r="AV90" s="149"/>
      <c r="AW90" s="149"/>
      <c r="AX90" s="149"/>
      <c r="AY90" s="149"/>
      <c r="AZ90" s="149"/>
      <c r="BA90" s="149"/>
      <c r="BB90" s="149"/>
      <c r="BC90" s="149"/>
      <c r="BD90" s="149"/>
      <c r="BE90" s="151"/>
      <c r="BF90" s="149"/>
      <c r="BG90" s="149"/>
      <c r="BH90" s="149"/>
      <c r="BI90" s="149"/>
      <c r="BJ90" s="149"/>
      <c r="BK90" s="149"/>
      <c r="BL90" s="149"/>
      <c r="BM90" s="149"/>
      <c r="BN90" s="149"/>
      <c r="BO90" s="149"/>
      <c r="BP90" s="149"/>
      <c r="BQ90" s="149"/>
      <c r="BR90" s="149"/>
      <c r="BS90" s="149"/>
      <c r="BT90" s="149"/>
      <c r="BU90" s="149"/>
      <c r="BV90" s="149"/>
      <c r="BW90" s="149"/>
      <c r="BX90" s="149"/>
      <c r="BY90" s="149"/>
      <c r="BZ90" s="149"/>
      <c r="CA90" s="149"/>
      <c r="CB90" s="149"/>
      <c r="CC90" s="149"/>
      <c r="CD90" s="149"/>
      <c r="CE90" s="149"/>
      <c r="CF90" s="149"/>
      <c r="CG90" s="149"/>
      <c r="CH90" s="149"/>
      <c r="CI90" s="149"/>
      <c r="CJ90" s="149"/>
      <c r="CK90" s="149"/>
      <c r="CL90" s="149"/>
      <c r="CM90" s="149"/>
      <c r="CN90" s="149"/>
      <c r="CO90" s="149"/>
      <c r="CP90" s="149"/>
      <c r="CQ90" s="149"/>
      <c r="CR90" s="149"/>
      <c r="CS90" s="149"/>
      <c r="CT90" s="149"/>
      <c r="CU90" s="149"/>
      <c r="CV90" s="149"/>
      <c r="CW90" s="149"/>
      <c r="CX90" s="149"/>
      <c r="CY90" s="149"/>
      <c r="CZ90" s="149"/>
      <c r="DA90" s="149"/>
      <c r="DB90" s="149"/>
      <c r="DC90" s="149"/>
      <c r="DD90" s="149"/>
      <c r="DE90" s="149"/>
      <c r="DF90" s="149"/>
      <c r="DG90" s="149"/>
      <c r="DH90" s="149"/>
      <c r="DI90" s="149"/>
      <c r="DJ90" s="149"/>
      <c r="DK90" s="149"/>
      <c r="DL90" s="149"/>
      <c r="DM90" s="149"/>
      <c r="DN90" s="149"/>
      <c r="DO90" s="149"/>
      <c r="DP90" s="149"/>
      <c r="DQ90" s="149"/>
      <c r="DR90" s="149"/>
      <c r="DS90" s="149"/>
      <c r="DT90" s="149"/>
      <c r="DU90" s="149"/>
      <c r="DV90" s="149"/>
      <c r="DW90" s="149"/>
      <c r="DX90" s="149"/>
      <c r="DY90" s="149"/>
      <c r="DZ90" s="149"/>
      <c r="EA90" s="149"/>
      <c r="EB90" s="149"/>
      <c r="EC90" s="149"/>
      <c r="ED90" s="149"/>
      <c r="EE90" s="149"/>
      <c r="EF90" s="149"/>
      <c r="EG90" s="149"/>
      <c r="EH90" s="149"/>
      <c r="EI90" s="149"/>
      <c r="EJ90" s="149"/>
      <c r="EK90" s="149"/>
      <c r="EL90" s="149"/>
      <c r="EM90" s="149"/>
      <c r="EN90" s="149"/>
      <c r="EO90" s="149"/>
      <c r="EP90" s="149"/>
      <c r="EQ90" s="149"/>
      <c r="ER90" s="149"/>
      <c r="ES90" s="149"/>
      <c r="ET90" s="149"/>
      <c r="EU90" s="149"/>
      <c r="EV90" s="149"/>
      <c r="EW90" s="149"/>
      <c r="EX90" s="149"/>
      <c r="EY90" s="149"/>
      <c r="EZ90" s="149"/>
      <c r="FA90" s="149"/>
      <c r="FB90" s="149"/>
      <c r="FC90" s="149"/>
      <c r="FD90" s="149"/>
      <c r="FE90" s="149"/>
      <c r="FF90" s="149"/>
      <c r="FG90" s="149"/>
      <c r="FH90" s="149"/>
      <c r="FI90" s="149"/>
      <c r="FJ90" s="149"/>
      <c r="FK90" s="149"/>
      <c r="FL90" s="149"/>
      <c r="FM90" s="149"/>
      <c r="FN90" s="149"/>
      <c r="FO90" s="149"/>
      <c r="FP90" s="149"/>
      <c r="FQ90" s="149"/>
      <c r="FR90" s="149"/>
      <c r="FS90" s="149"/>
      <c r="FT90" s="149"/>
      <c r="FU90" s="149"/>
      <c r="FV90" s="149"/>
      <c r="FW90" s="149"/>
      <c r="FX90" s="149"/>
      <c r="FY90" s="149"/>
      <c r="FZ90" s="149"/>
      <c r="GA90" s="149"/>
      <c r="GB90" s="149"/>
      <c r="GC90" s="149"/>
      <c r="GD90" s="149"/>
      <c r="GE90" s="149"/>
    </row>
    <row r="91" spans="1:187">
      <c r="A91" s="149"/>
      <c r="B91" s="149"/>
      <c r="C91" s="149"/>
      <c r="D91" s="149"/>
      <c r="E91" s="149"/>
      <c r="F91" s="149"/>
      <c r="G91" s="149"/>
      <c r="H91" s="149"/>
      <c r="I91" s="149"/>
      <c r="J91" s="149"/>
      <c r="K91" s="149"/>
      <c r="L91" s="149"/>
      <c r="M91" s="149"/>
      <c r="N91" s="151"/>
      <c r="O91" s="149"/>
      <c r="P91" s="149"/>
      <c r="Q91" s="149"/>
      <c r="R91" s="149"/>
      <c r="S91" s="149"/>
      <c r="T91" s="149"/>
      <c r="U91" s="149"/>
      <c r="V91" s="149"/>
      <c r="W91" s="149"/>
      <c r="X91" s="149"/>
      <c r="Y91" s="149"/>
      <c r="Z91" s="149"/>
      <c r="AA91" s="149"/>
      <c r="AB91" s="149"/>
      <c r="AC91" s="149"/>
      <c r="AD91" s="149"/>
      <c r="AE91" s="149"/>
      <c r="AF91" s="149"/>
      <c r="AG91" s="149"/>
      <c r="AH91" s="149"/>
      <c r="AI91" s="149"/>
      <c r="AJ91" s="149"/>
      <c r="AK91" s="149"/>
      <c r="AL91" s="149"/>
      <c r="AM91" s="149"/>
      <c r="AN91" s="149"/>
      <c r="AO91" s="149"/>
      <c r="AP91" s="149"/>
      <c r="AQ91" s="149"/>
      <c r="AR91" s="149"/>
      <c r="AS91" s="149"/>
      <c r="AT91" s="149"/>
      <c r="AU91" s="149"/>
      <c r="AV91" s="149"/>
      <c r="AW91" s="149"/>
      <c r="AX91" s="149"/>
      <c r="AY91" s="149"/>
      <c r="AZ91" s="149"/>
      <c r="BA91" s="149"/>
      <c r="BB91" s="149"/>
      <c r="BC91" s="149"/>
      <c r="BD91" s="149"/>
      <c r="BE91" s="151"/>
      <c r="BF91" s="149"/>
      <c r="BG91" s="149"/>
      <c r="BH91" s="149"/>
      <c r="BI91" s="149"/>
      <c r="BJ91" s="149"/>
      <c r="BK91" s="149"/>
      <c r="BL91" s="149"/>
      <c r="BM91" s="149"/>
      <c r="BN91" s="149"/>
      <c r="BO91" s="149"/>
      <c r="BP91" s="149"/>
      <c r="BQ91" s="149"/>
      <c r="BR91" s="149"/>
      <c r="BS91" s="149"/>
      <c r="BT91" s="149"/>
      <c r="BU91" s="149"/>
      <c r="BV91" s="149"/>
      <c r="BW91" s="149"/>
      <c r="BX91" s="149"/>
      <c r="BY91" s="149"/>
      <c r="BZ91" s="149"/>
      <c r="CA91" s="149"/>
      <c r="CB91" s="149"/>
      <c r="CC91" s="149"/>
      <c r="CD91" s="149"/>
      <c r="CE91" s="149"/>
      <c r="CF91" s="149"/>
      <c r="CG91" s="149"/>
      <c r="CH91" s="149"/>
      <c r="CI91" s="149"/>
      <c r="CJ91" s="149"/>
      <c r="CK91" s="149"/>
      <c r="CL91" s="149"/>
      <c r="CM91" s="149"/>
      <c r="CN91" s="149"/>
      <c r="CO91" s="149"/>
      <c r="CP91" s="149"/>
      <c r="CQ91" s="149"/>
      <c r="CR91" s="149"/>
      <c r="CS91" s="149"/>
      <c r="CT91" s="149"/>
      <c r="CU91" s="149"/>
      <c r="CV91" s="149"/>
      <c r="CW91" s="149"/>
      <c r="CX91" s="149"/>
      <c r="CY91" s="149"/>
      <c r="CZ91" s="149"/>
      <c r="DA91" s="149"/>
      <c r="DB91" s="149"/>
      <c r="DC91" s="149"/>
      <c r="DD91" s="149"/>
      <c r="DE91" s="149"/>
      <c r="DF91" s="149"/>
      <c r="DG91" s="149"/>
      <c r="DH91" s="149"/>
      <c r="DI91" s="149"/>
      <c r="DJ91" s="149"/>
      <c r="DK91" s="149"/>
      <c r="DL91" s="149"/>
      <c r="DM91" s="149"/>
      <c r="DN91" s="149"/>
      <c r="DO91" s="149"/>
      <c r="DP91" s="149"/>
      <c r="DQ91" s="149"/>
      <c r="DR91" s="149"/>
      <c r="DS91" s="149"/>
      <c r="DT91" s="149"/>
      <c r="DU91" s="149"/>
      <c r="DV91" s="149"/>
      <c r="DW91" s="149"/>
      <c r="DX91" s="149"/>
      <c r="DY91" s="149"/>
      <c r="DZ91" s="149"/>
      <c r="EA91" s="149"/>
      <c r="EB91" s="149"/>
      <c r="EC91" s="149"/>
      <c r="ED91" s="149"/>
      <c r="EE91" s="149"/>
      <c r="EF91" s="149"/>
      <c r="EG91" s="149"/>
      <c r="EH91" s="149"/>
      <c r="EI91" s="149"/>
      <c r="EJ91" s="149"/>
      <c r="EK91" s="149"/>
      <c r="EL91" s="149"/>
      <c r="EM91" s="149"/>
      <c r="EN91" s="149"/>
      <c r="EO91" s="149"/>
      <c r="EP91" s="149"/>
      <c r="EQ91" s="149"/>
      <c r="ER91" s="149"/>
      <c r="ES91" s="149"/>
      <c r="ET91" s="149"/>
      <c r="EU91" s="149"/>
      <c r="EV91" s="149"/>
      <c r="EW91" s="149"/>
      <c r="EX91" s="149"/>
      <c r="EY91" s="149"/>
      <c r="EZ91" s="149"/>
      <c r="FA91" s="149"/>
      <c r="FB91" s="149"/>
      <c r="FC91" s="149"/>
      <c r="FD91" s="149"/>
      <c r="FE91" s="149"/>
      <c r="FF91" s="149"/>
      <c r="FG91" s="149"/>
      <c r="FH91" s="149"/>
      <c r="FI91" s="149"/>
      <c r="FJ91" s="149"/>
      <c r="FK91" s="149"/>
      <c r="FL91" s="149"/>
      <c r="FM91" s="149"/>
      <c r="FN91" s="149"/>
      <c r="FO91" s="149"/>
      <c r="FP91" s="149"/>
      <c r="FQ91" s="149"/>
      <c r="FR91" s="149"/>
      <c r="FS91" s="149"/>
      <c r="FT91" s="149"/>
      <c r="FU91" s="149"/>
      <c r="FV91" s="149"/>
      <c r="FW91" s="149"/>
      <c r="FX91" s="149"/>
      <c r="FY91" s="149"/>
      <c r="FZ91" s="149"/>
      <c r="GA91" s="149"/>
      <c r="GB91" s="149"/>
      <c r="GC91" s="149"/>
      <c r="GD91" s="149"/>
      <c r="GE91" s="149"/>
    </row>
    <row r="92" spans="1:187">
      <c r="A92" s="149"/>
      <c r="B92" s="149"/>
      <c r="C92" s="149"/>
      <c r="D92" s="149"/>
      <c r="E92" s="149"/>
      <c r="F92" s="149"/>
      <c r="G92" s="149"/>
      <c r="H92" s="149"/>
      <c r="I92" s="149"/>
      <c r="J92" s="149"/>
      <c r="K92" s="149"/>
      <c r="L92" s="149"/>
      <c r="M92" s="149"/>
      <c r="N92" s="151"/>
      <c r="O92" s="149"/>
      <c r="P92" s="149"/>
      <c r="Q92" s="149"/>
      <c r="R92" s="149"/>
      <c r="S92" s="149"/>
      <c r="T92" s="149"/>
      <c r="U92" s="149"/>
      <c r="V92" s="149"/>
      <c r="W92" s="149"/>
      <c r="X92" s="149"/>
      <c r="Y92" s="149"/>
      <c r="Z92" s="149"/>
      <c r="AA92" s="149"/>
      <c r="AB92" s="149"/>
      <c r="AC92" s="149"/>
      <c r="AD92" s="149"/>
      <c r="AE92" s="149"/>
      <c r="AF92" s="149"/>
      <c r="AG92" s="149"/>
      <c r="AH92" s="149"/>
      <c r="AI92" s="149"/>
      <c r="AJ92" s="149"/>
      <c r="AK92" s="149"/>
      <c r="AL92" s="149"/>
      <c r="AM92" s="149"/>
      <c r="AN92" s="149"/>
      <c r="AO92" s="149"/>
      <c r="AP92" s="149"/>
      <c r="AQ92" s="149"/>
      <c r="AR92" s="149"/>
      <c r="AS92" s="149"/>
      <c r="AT92" s="149"/>
      <c r="AU92" s="149"/>
      <c r="AV92" s="149"/>
      <c r="AW92" s="149"/>
      <c r="AX92" s="149"/>
      <c r="AY92" s="149"/>
      <c r="AZ92" s="149"/>
      <c r="BA92" s="149"/>
      <c r="BB92" s="149"/>
      <c r="BC92" s="149"/>
      <c r="BD92" s="149"/>
      <c r="BE92" s="151"/>
      <c r="BF92" s="149"/>
      <c r="BG92" s="149"/>
      <c r="BH92" s="149"/>
      <c r="BI92" s="149"/>
      <c r="BJ92" s="149"/>
      <c r="BK92" s="149"/>
      <c r="BL92" s="149"/>
      <c r="BM92" s="149"/>
      <c r="BN92" s="149"/>
      <c r="BO92" s="149"/>
      <c r="BP92" s="149"/>
      <c r="BQ92" s="149"/>
      <c r="BR92" s="149"/>
      <c r="BS92" s="149"/>
      <c r="BT92" s="149"/>
      <c r="BU92" s="149"/>
      <c r="BV92" s="149"/>
      <c r="BW92" s="149"/>
      <c r="BX92" s="149"/>
      <c r="BY92" s="149"/>
      <c r="BZ92" s="149"/>
      <c r="CA92" s="149"/>
      <c r="CB92" s="149"/>
      <c r="CC92" s="149"/>
      <c r="CD92" s="149"/>
      <c r="CE92" s="149"/>
      <c r="CF92" s="149"/>
      <c r="CG92" s="149"/>
      <c r="CH92" s="149"/>
      <c r="CI92" s="149"/>
      <c r="CJ92" s="149"/>
      <c r="CK92" s="149"/>
      <c r="CL92" s="149"/>
      <c r="CM92" s="149"/>
      <c r="CN92" s="149"/>
      <c r="CO92" s="149"/>
      <c r="CP92" s="149"/>
      <c r="CQ92" s="149"/>
      <c r="CR92" s="149"/>
      <c r="CS92" s="149"/>
      <c r="CT92" s="149"/>
      <c r="CU92" s="149"/>
      <c r="CV92" s="149"/>
      <c r="CW92" s="149"/>
      <c r="CX92" s="149"/>
      <c r="CY92" s="149"/>
      <c r="CZ92" s="149"/>
      <c r="DA92" s="149"/>
      <c r="DB92" s="149"/>
      <c r="DC92" s="149"/>
      <c r="DD92" s="149"/>
      <c r="DE92" s="149"/>
      <c r="DF92" s="149"/>
      <c r="DG92" s="149"/>
      <c r="DH92" s="149"/>
      <c r="DI92" s="149"/>
      <c r="DJ92" s="149"/>
      <c r="DK92" s="149"/>
      <c r="DL92" s="149"/>
      <c r="DM92" s="149"/>
      <c r="DN92" s="149"/>
      <c r="DO92" s="149"/>
      <c r="DP92" s="149"/>
      <c r="DQ92" s="149"/>
      <c r="DR92" s="149"/>
      <c r="DS92" s="149"/>
      <c r="DT92" s="149"/>
      <c r="DU92" s="149"/>
      <c r="DV92" s="149"/>
      <c r="DW92" s="149"/>
      <c r="DX92" s="149"/>
      <c r="DY92" s="149"/>
      <c r="DZ92" s="149"/>
      <c r="EA92" s="149"/>
      <c r="EB92" s="149"/>
      <c r="EC92" s="149"/>
      <c r="ED92" s="149"/>
      <c r="EE92" s="149"/>
      <c r="EF92" s="149"/>
      <c r="EG92" s="149"/>
      <c r="EH92" s="149"/>
      <c r="EI92" s="149"/>
      <c r="EJ92" s="149"/>
      <c r="EK92" s="149"/>
      <c r="EL92" s="149"/>
      <c r="EM92" s="149"/>
      <c r="EN92" s="149"/>
      <c r="EO92" s="149"/>
      <c r="EP92" s="149"/>
      <c r="EQ92" s="149"/>
      <c r="ER92" s="149"/>
      <c r="ES92" s="149"/>
      <c r="ET92" s="149"/>
      <c r="EU92" s="149"/>
      <c r="EV92" s="149"/>
      <c r="EW92" s="149"/>
      <c r="EX92" s="149"/>
      <c r="EY92" s="149"/>
      <c r="EZ92" s="149"/>
      <c r="FA92" s="149"/>
      <c r="FB92" s="149"/>
      <c r="FC92" s="149"/>
      <c r="FD92" s="149"/>
      <c r="FE92" s="149"/>
      <c r="FF92" s="149"/>
      <c r="FG92" s="149"/>
      <c r="FH92" s="149"/>
      <c r="FI92" s="149"/>
      <c r="FJ92" s="149"/>
      <c r="FK92" s="149"/>
      <c r="FL92" s="149"/>
      <c r="FM92" s="149"/>
      <c r="FN92" s="149"/>
      <c r="FO92" s="149"/>
      <c r="FP92" s="149"/>
      <c r="FQ92" s="149"/>
      <c r="FR92" s="149"/>
      <c r="FS92" s="149"/>
      <c r="FT92" s="149"/>
      <c r="FU92" s="149"/>
      <c r="FV92" s="149"/>
      <c r="FW92" s="149"/>
      <c r="FX92" s="149"/>
      <c r="FY92" s="149"/>
      <c r="FZ92" s="149"/>
      <c r="GA92" s="149"/>
      <c r="GB92" s="149"/>
      <c r="GC92" s="149"/>
      <c r="GD92" s="149"/>
      <c r="GE92" s="149"/>
    </row>
    <row r="93" spans="1:187">
      <c r="A93" s="149"/>
      <c r="B93" s="149"/>
      <c r="C93" s="149"/>
      <c r="D93" s="149"/>
      <c r="E93" s="149"/>
      <c r="F93" s="149"/>
      <c r="G93" s="149"/>
      <c r="H93" s="149"/>
      <c r="I93" s="149"/>
      <c r="J93" s="149"/>
      <c r="K93" s="149"/>
      <c r="L93" s="149"/>
      <c r="M93" s="149"/>
      <c r="N93" s="151"/>
      <c r="O93" s="149"/>
      <c r="P93" s="149"/>
      <c r="Q93" s="149"/>
      <c r="R93" s="149"/>
      <c r="S93" s="149"/>
      <c r="T93" s="149"/>
      <c r="U93" s="149"/>
      <c r="V93" s="149"/>
      <c r="W93" s="149"/>
      <c r="X93" s="149"/>
      <c r="Y93" s="149"/>
      <c r="Z93" s="149"/>
      <c r="AA93" s="149"/>
      <c r="AB93" s="149"/>
      <c r="AC93" s="149"/>
      <c r="AD93" s="149"/>
      <c r="AE93" s="149"/>
      <c r="AF93" s="149"/>
      <c r="AG93" s="149"/>
      <c r="AH93" s="149"/>
      <c r="AI93" s="149"/>
      <c r="AJ93" s="149"/>
      <c r="AK93" s="149"/>
      <c r="AL93" s="149"/>
      <c r="AM93" s="149"/>
      <c r="AN93" s="149"/>
      <c r="AO93" s="149"/>
      <c r="AP93" s="149"/>
      <c r="AQ93" s="149"/>
      <c r="AR93" s="149"/>
      <c r="AS93" s="149"/>
      <c r="AT93" s="149"/>
      <c r="AU93" s="149"/>
      <c r="AV93" s="149"/>
      <c r="AW93" s="149"/>
      <c r="AX93" s="149"/>
      <c r="AY93" s="149"/>
      <c r="AZ93" s="149"/>
      <c r="BA93" s="149"/>
      <c r="BB93" s="149"/>
      <c r="BC93" s="149"/>
      <c r="BD93" s="149"/>
      <c r="BE93" s="151"/>
      <c r="BF93" s="149"/>
      <c r="BG93" s="149"/>
      <c r="BH93" s="149"/>
      <c r="BI93" s="149"/>
      <c r="BJ93" s="149"/>
      <c r="BK93" s="149"/>
      <c r="BL93" s="149"/>
      <c r="BM93" s="149"/>
      <c r="BN93" s="149"/>
      <c r="BO93" s="149"/>
      <c r="BP93" s="149"/>
      <c r="BQ93" s="149"/>
      <c r="BR93" s="149"/>
      <c r="BS93" s="149"/>
      <c r="BT93" s="149"/>
      <c r="BU93" s="149"/>
      <c r="BV93" s="149"/>
      <c r="BW93" s="149"/>
      <c r="BX93" s="149"/>
      <c r="BY93" s="149"/>
      <c r="BZ93" s="149"/>
      <c r="CA93" s="149"/>
      <c r="CB93" s="149"/>
      <c r="CC93" s="149"/>
      <c r="CD93" s="149"/>
      <c r="CE93" s="149"/>
      <c r="CF93" s="149"/>
      <c r="CG93" s="149"/>
      <c r="CH93" s="149"/>
      <c r="CI93" s="149"/>
      <c r="CJ93" s="149"/>
      <c r="CK93" s="149"/>
      <c r="CL93" s="149"/>
      <c r="CM93" s="149"/>
      <c r="CN93" s="149"/>
      <c r="CO93" s="149"/>
      <c r="CP93" s="149"/>
      <c r="CQ93" s="149"/>
      <c r="CR93" s="149"/>
      <c r="CS93" s="149"/>
      <c r="CT93" s="149"/>
      <c r="CU93" s="149"/>
      <c r="CV93" s="149"/>
      <c r="CW93" s="149"/>
      <c r="CX93" s="149"/>
      <c r="CY93" s="149"/>
      <c r="CZ93" s="149"/>
      <c r="DA93" s="149"/>
      <c r="DB93" s="149"/>
      <c r="DC93" s="149"/>
      <c r="DD93" s="149"/>
      <c r="DE93" s="149"/>
      <c r="DF93" s="149"/>
      <c r="DG93" s="149"/>
      <c r="DH93" s="149"/>
      <c r="DI93" s="149"/>
      <c r="DJ93" s="149"/>
      <c r="DK93" s="149"/>
      <c r="DL93" s="149"/>
      <c r="DM93" s="149"/>
      <c r="DN93" s="149"/>
      <c r="DO93" s="149"/>
      <c r="DP93" s="149"/>
      <c r="DQ93" s="149"/>
      <c r="DR93" s="149"/>
      <c r="DS93" s="149"/>
      <c r="DT93" s="149"/>
      <c r="DU93" s="149"/>
      <c r="DV93" s="149"/>
      <c r="DW93" s="149"/>
      <c r="DX93" s="149"/>
      <c r="DY93" s="149"/>
      <c r="DZ93" s="149"/>
      <c r="EA93" s="149"/>
      <c r="EB93" s="149"/>
      <c r="EC93" s="149"/>
      <c r="ED93" s="149"/>
      <c r="EE93" s="149"/>
      <c r="EF93" s="149"/>
      <c r="EG93" s="149"/>
      <c r="EH93" s="149"/>
      <c r="EI93" s="149"/>
      <c r="EJ93" s="149"/>
      <c r="EK93" s="149"/>
      <c r="EL93" s="149"/>
      <c r="EM93" s="149"/>
      <c r="EN93" s="149"/>
      <c r="EO93" s="149"/>
      <c r="EP93" s="149"/>
      <c r="EQ93" s="149"/>
      <c r="ER93" s="149"/>
      <c r="ES93" s="149"/>
      <c r="ET93" s="149"/>
      <c r="EU93" s="149"/>
      <c r="EV93" s="149"/>
      <c r="EW93" s="149"/>
      <c r="EX93" s="149"/>
      <c r="EY93" s="149"/>
      <c r="EZ93" s="149"/>
      <c r="FA93" s="149"/>
      <c r="FB93" s="149"/>
      <c r="FC93" s="149"/>
      <c r="FD93" s="149"/>
      <c r="FE93" s="149"/>
      <c r="FF93" s="149"/>
      <c r="FG93" s="149"/>
      <c r="FH93" s="149"/>
      <c r="FI93" s="149"/>
      <c r="FJ93" s="149"/>
      <c r="FK93" s="149"/>
      <c r="FL93" s="149"/>
      <c r="FM93" s="149"/>
      <c r="FN93" s="149"/>
      <c r="FO93" s="149"/>
      <c r="FP93" s="149"/>
      <c r="FQ93" s="149"/>
      <c r="FR93" s="149"/>
      <c r="FS93" s="149"/>
      <c r="FT93" s="149"/>
      <c r="FU93" s="149"/>
      <c r="FV93" s="149"/>
      <c r="FW93" s="149"/>
      <c r="FX93" s="149"/>
      <c r="FY93" s="149"/>
      <c r="FZ93" s="149"/>
      <c r="GA93" s="149"/>
      <c r="GB93" s="149"/>
      <c r="GC93" s="149"/>
      <c r="GD93" s="149"/>
      <c r="GE93" s="149"/>
    </row>
    <row r="94" spans="1:187">
      <c r="A94" s="149"/>
      <c r="B94" s="14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51"/>
      <c r="O94" s="149"/>
      <c r="P94" s="149"/>
      <c r="Q94" s="149"/>
      <c r="R94" s="149"/>
      <c r="S94" s="149"/>
      <c r="T94" s="149"/>
      <c r="U94" s="149"/>
      <c r="V94" s="149"/>
      <c r="W94" s="149"/>
      <c r="X94" s="149"/>
      <c r="Y94" s="149"/>
      <c r="Z94" s="149"/>
      <c r="AA94" s="149"/>
      <c r="AB94" s="149"/>
      <c r="AC94" s="149"/>
      <c r="AD94" s="149"/>
      <c r="AE94" s="149"/>
      <c r="AF94" s="149"/>
      <c r="AG94" s="149"/>
      <c r="AH94" s="149"/>
      <c r="AI94" s="149"/>
      <c r="AJ94" s="149"/>
      <c r="AK94" s="149"/>
      <c r="AL94" s="149"/>
      <c r="AM94" s="149"/>
      <c r="AN94" s="149"/>
      <c r="AO94" s="149"/>
      <c r="AP94" s="149"/>
      <c r="AQ94" s="149"/>
      <c r="AR94" s="149"/>
      <c r="AS94" s="149"/>
      <c r="AT94" s="149"/>
      <c r="AU94" s="149"/>
      <c r="AV94" s="149"/>
      <c r="AW94" s="149"/>
      <c r="AX94" s="149"/>
      <c r="AY94" s="149"/>
      <c r="AZ94" s="149"/>
      <c r="BA94" s="149"/>
      <c r="BB94" s="149"/>
      <c r="BC94" s="149"/>
      <c r="BD94" s="149"/>
      <c r="BE94" s="151"/>
      <c r="BF94" s="149"/>
      <c r="BG94" s="149"/>
      <c r="BH94" s="149"/>
      <c r="BI94" s="149"/>
      <c r="BJ94" s="149"/>
      <c r="BK94" s="149"/>
      <c r="BL94" s="149"/>
      <c r="BM94" s="149"/>
      <c r="BN94" s="149"/>
      <c r="BO94" s="149"/>
      <c r="BP94" s="149"/>
      <c r="BQ94" s="149"/>
      <c r="BR94" s="149"/>
      <c r="BS94" s="149"/>
      <c r="BT94" s="149"/>
      <c r="BU94" s="149"/>
      <c r="BV94" s="149"/>
      <c r="BW94" s="149"/>
      <c r="BX94" s="149"/>
      <c r="BY94" s="149"/>
      <c r="BZ94" s="149"/>
      <c r="CA94" s="149"/>
      <c r="CB94" s="149"/>
      <c r="CC94" s="149"/>
      <c r="CD94" s="149"/>
      <c r="CE94" s="149"/>
      <c r="CF94" s="149"/>
      <c r="CG94" s="149"/>
      <c r="CH94" s="149"/>
      <c r="CI94" s="149"/>
      <c r="CJ94" s="149"/>
      <c r="CK94" s="149"/>
      <c r="CL94" s="149"/>
      <c r="CM94" s="149"/>
      <c r="CN94" s="149"/>
      <c r="CO94" s="149"/>
      <c r="CP94" s="149"/>
      <c r="CQ94" s="149"/>
      <c r="CR94" s="149"/>
      <c r="CS94" s="149"/>
      <c r="CT94" s="149"/>
      <c r="CU94" s="149"/>
      <c r="CV94" s="149"/>
      <c r="CW94" s="149"/>
      <c r="CX94" s="149"/>
      <c r="CY94" s="149"/>
      <c r="CZ94" s="149"/>
      <c r="DA94" s="149"/>
      <c r="DB94" s="149"/>
      <c r="DC94" s="149"/>
      <c r="DD94" s="149"/>
      <c r="DE94" s="149"/>
      <c r="DF94" s="149"/>
      <c r="DG94" s="149"/>
      <c r="DH94" s="149"/>
      <c r="DI94" s="149"/>
      <c r="DJ94" s="149"/>
      <c r="DK94" s="149"/>
      <c r="DL94" s="149"/>
      <c r="DM94" s="149"/>
      <c r="DN94" s="149"/>
      <c r="DO94" s="149"/>
      <c r="DP94" s="149"/>
      <c r="DQ94" s="149"/>
      <c r="DR94" s="149"/>
      <c r="DS94" s="149"/>
      <c r="DT94" s="149"/>
      <c r="DU94" s="149"/>
      <c r="DV94" s="149"/>
      <c r="DW94" s="149"/>
      <c r="DX94" s="149"/>
      <c r="DY94" s="149"/>
      <c r="DZ94" s="149"/>
      <c r="EA94" s="149"/>
      <c r="EB94" s="149"/>
      <c r="EC94" s="149"/>
      <c r="ED94" s="149"/>
      <c r="EE94" s="149"/>
      <c r="EF94" s="149"/>
      <c r="EG94" s="149"/>
      <c r="EH94" s="149"/>
      <c r="EI94" s="149"/>
      <c r="EJ94" s="149"/>
      <c r="EK94" s="149"/>
      <c r="EL94" s="149"/>
      <c r="EM94" s="149"/>
      <c r="EN94" s="149"/>
      <c r="EO94" s="149"/>
      <c r="EP94" s="149"/>
      <c r="EQ94" s="149"/>
      <c r="ER94" s="149"/>
      <c r="ES94" s="149"/>
      <c r="ET94" s="149"/>
      <c r="EU94" s="149"/>
      <c r="EV94" s="149"/>
      <c r="EW94" s="149"/>
      <c r="EX94" s="149"/>
      <c r="EY94" s="149"/>
      <c r="EZ94" s="149"/>
      <c r="FA94" s="149"/>
      <c r="FB94" s="149"/>
      <c r="FC94" s="149"/>
      <c r="FD94" s="149"/>
      <c r="FE94" s="149"/>
      <c r="FF94" s="149"/>
      <c r="FG94" s="149"/>
      <c r="FH94" s="149"/>
      <c r="FI94" s="149"/>
      <c r="FJ94" s="149"/>
      <c r="FK94" s="149"/>
      <c r="FL94" s="149"/>
      <c r="FM94" s="149"/>
      <c r="FN94" s="149"/>
      <c r="FO94" s="149"/>
      <c r="FP94" s="149"/>
      <c r="FQ94" s="149"/>
      <c r="FR94" s="149"/>
      <c r="FS94" s="149"/>
      <c r="FT94" s="149"/>
      <c r="FU94" s="149"/>
      <c r="FV94" s="149"/>
      <c r="FW94" s="149"/>
      <c r="FX94" s="149"/>
      <c r="FY94" s="149"/>
      <c r="FZ94" s="149"/>
      <c r="GA94" s="149"/>
      <c r="GB94" s="149"/>
      <c r="GC94" s="149"/>
      <c r="GD94" s="149"/>
      <c r="GE94" s="149"/>
    </row>
    <row r="95" spans="1:187">
      <c r="A95" s="149"/>
      <c r="B95" s="149"/>
      <c r="C95" s="149"/>
      <c r="D95" s="149"/>
      <c r="E95" s="149"/>
      <c r="F95" s="149"/>
      <c r="G95" s="149"/>
      <c r="H95" s="149"/>
      <c r="I95" s="149"/>
      <c r="J95" s="149"/>
      <c r="K95" s="149"/>
      <c r="L95" s="149"/>
      <c r="M95" s="149"/>
      <c r="N95" s="151"/>
      <c r="O95" s="149"/>
      <c r="P95" s="149"/>
      <c r="Q95" s="149"/>
      <c r="R95" s="149"/>
      <c r="S95" s="149"/>
      <c r="T95" s="149"/>
      <c r="U95" s="149"/>
      <c r="V95" s="149"/>
      <c r="W95" s="149"/>
      <c r="X95" s="149"/>
      <c r="Y95" s="149"/>
      <c r="Z95" s="149"/>
      <c r="AA95" s="149"/>
      <c r="AB95" s="149"/>
      <c r="AC95" s="149"/>
      <c r="AD95" s="149"/>
      <c r="AE95" s="149"/>
      <c r="AF95" s="149"/>
      <c r="AG95" s="149"/>
      <c r="AH95" s="149"/>
      <c r="AI95" s="149"/>
      <c r="AJ95" s="149"/>
      <c r="AK95" s="149"/>
      <c r="AL95" s="149"/>
      <c r="AM95" s="149"/>
      <c r="AN95" s="149"/>
      <c r="AO95" s="149"/>
      <c r="AP95" s="149"/>
      <c r="AQ95" s="149"/>
      <c r="AR95" s="149"/>
      <c r="AS95" s="149"/>
      <c r="AT95" s="149"/>
      <c r="AU95" s="149"/>
      <c r="AV95" s="149"/>
      <c r="AW95" s="149"/>
      <c r="AX95" s="149"/>
      <c r="AY95" s="149"/>
      <c r="AZ95" s="149"/>
      <c r="BA95" s="149"/>
      <c r="BB95" s="149"/>
      <c r="BC95" s="149"/>
      <c r="BD95" s="149"/>
      <c r="BE95" s="151"/>
      <c r="BF95" s="149"/>
      <c r="BG95" s="149"/>
      <c r="BH95" s="149"/>
      <c r="BI95" s="149"/>
      <c r="BJ95" s="149"/>
      <c r="BK95" s="149"/>
      <c r="BL95" s="149"/>
      <c r="BM95" s="149"/>
      <c r="BN95" s="149"/>
      <c r="BO95" s="149"/>
      <c r="BP95" s="149"/>
      <c r="BQ95" s="149"/>
      <c r="BR95" s="149"/>
      <c r="BS95" s="149"/>
      <c r="BT95" s="149"/>
      <c r="BU95" s="149"/>
      <c r="BV95" s="149"/>
      <c r="BW95" s="149"/>
      <c r="BX95" s="149"/>
      <c r="BY95" s="149"/>
      <c r="BZ95" s="149"/>
      <c r="CA95" s="149"/>
      <c r="CB95" s="149"/>
      <c r="CC95" s="149"/>
      <c r="CD95" s="149"/>
      <c r="CE95" s="149"/>
      <c r="CF95" s="149"/>
      <c r="CG95" s="149"/>
      <c r="CH95" s="149"/>
      <c r="CI95" s="149"/>
      <c r="CJ95" s="149"/>
      <c r="CK95" s="149"/>
      <c r="CL95" s="149"/>
      <c r="CM95" s="149"/>
      <c r="CN95" s="149"/>
      <c r="CO95" s="149"/>
      <c r="CP95" s="149"/>
      <c r="CQ95" s="149"/>
      <c r="CR95" s="149"/>
      <c r="CS95" s="149"/>
      <c r="CT95" s="149"/>
      <c r="CU95" s="149"/>
      <c r="CV95" s="149"/>
      <c r="CW95" s="149"/>
      <c r="CX95" s="149"/>
      <c r="CY95" s="149"/>
      <c r="CZ95" s="149"/>
      <c r="DA95" s="149"/>
      <c r="DB95" s="149"/>
      <c r="DC95" s="149"/>
      <c r="DD95" s="149"/>
      <c r="DE95" s="149"/>
      <c r="DF95" s="149"/>
      <c r="DG95" s="149"/>
      <c r="DH95" s="149"/>
      <c r="DI95" s="149"/>
      <c r="DJ95" s="149"/>
      <c r="DK95" s="149"/>
      <c r="DL95" s="149"/>
      <c r="DM95" s="149"/>
      <c r="DN95" s="149"/>
      <c r="DO95" s="149"/>
      <c r="DP95" s="149"/>
      <c r="DQ95" s="149"/>
      <c r="DR95" s="149"/>
      <c r="DS95" s="149"/>
      <c r="DT95" s="149"/>
      <c r="DU95" s="149"/>
      <c r="DV95" s="149"/>
      <c r="DW95" s="149"/>
      <c r="DX95" s="149"/>
      <c r="DY95" s="149"/>
      <c r="DZ95" s="149"/>
      <c r="EA95" s="149"/>
      <c r="EB95" s="149"/>
      <c r="EC95" s="149"/>
      <c r="ED95" s="149"/>
      <c r="EE95" s="149"/>
      <c r="EF95" s="149"/>
      <c r="EG95" s="149"/>
      <c r="EH95" s="149"/>
      <c r="EI95" s="149"/>
      <c r="EJ95" s="149"/>
      <c r="EK95" s="149"/>
      <c r="EL95" s="149"/>
      <c r="EM95" s="149"/>
      <c r="EN95" s="149"/>
      <c r="EO95" s="149"/>
      <c r="EP95" s="149"/>
      <c r="EQ95" s="149"/>
      <c r="ER95" s="149"/>
      <c r="ES95" s="149"/>
      <c r="ET95" s="149"/>
      <c r="EU95" s="149"/>
      <c r="EV95" s="149"/>
      <c r="EW95" s="149"/>
      <c r="EX95" s="149"/>
      <c r="EY95" s="149"/>
      <c r="EZ95" s="149"/>
      <c r="FA95" s="149"/>
      <c r="FB95" s="149"/>
      <c r="FC95" s="149"/>
      <c r="FD95" s="149"/>
      <c r="FE95" s="149"/>
      <c r="FF95" s="149"/>
      <c r="FG95" s="149"/>
      <c r="FH95" s="149"/>
      <c r="FI95" s="149"/>
      <c r="FJ95" s="149"/>
      <c r="FK95" s="149"/>
      <c r="FL95" s="149"/>
      <c r="FM95" s="149"/>
      <c r="FN95" s="149"/>
      <c r="FO95" s="149"/>
      <c r="FP95" s="149"/>
      <c r="FQ95" s="149"/>
      <c r="FR95" s="149"/>
      <c r="FS95" s="149"/>
      <c r="FT95" s="149"/>
      <c r="FU95" s="149"/>
      <c r="FV95" s="149"/>
      <c r="FW95" s="149"/>
      <c r="FX95" s="149"/>
      <c r="FY95" s="149"/>
      <c r="FZ95" s="149"/>
      <c r="GA95" s="149"/>
      <c r="GB95" s="149"/>
      <c r="GC95" s="149"/>
      <c r="GD95" s="149"/>
      <c r="GE95" s="149"/>
    </row>
    <row r="96" spans="1:187">
      <c r="A96" s="149"/>
      <c r="B96" s="149"/>
      <c r="C96" s="149"/>
      <c r="D96" s="149"/>
      <c r="E96" s="149"/>
      <c r="F96" s="149"/>
      <c r="G96" s="149"/>
      <c r="H96" s="149"/>
      <c r="I96" s="149"/>
      <c r="J96" s="149"/>
      <c r="K96" s="149"/>
      <c r="L96" s="149"/>
      <c r="M96" s="149"/>
      <c r="N96" s="151"/>
      <c r="O96" s="149"/>
      <c r="P96" s="149"/>
      <c r="Q96" s="149"/>
      <c r="R96" s="149"/>
      <c r="S96" s="149"/>
      <c r="T96" s="149"/>
      <c r="U96" s="149"/>
      <c r="V96" s="149"/>
      <c r="W96" s="149"/>
      <c r="X96" s="149"/>
      <c r="Y96" s="149"/>
      <c r="Z96" s="149"/>
      <c r="AA96" s="149"/>
      <c r="AB96" s="149"/>
      <c r="AC96" s="149"/>
      <c r="AD96" s="149"/>
      <c r="AE96" s="149"/>
      <c r="AF96" s="149"/>
      <c r="AG96" s="149"/>
      <c r="AH96" s="149"/>
      <c r="AI96" s="149"/>
      <c r="AJ96" s="149"/>
      <c r="AK96" s="149"/>
      <c r="AL96" s="149"/>
      <c r="AM96" s="149"/>
      <c r="AN96" s="149"/>
      <c r="AO96" s="149"/>
      <c r="AP96" s="149"/>
      <c r="AQ96" s="149"/>
      <c r="AR96" s="149"/>
      <c r="AS96" s="149"/>
      <c r="AT96" s="149"/>
      <c r="AU96" s="149"/>
      <c r="AV96" s="149"/>
      <c r="AW96" s="149"/>
      <c r="AX96" s="149"/>
      <c r="AY96" s="149"/>
      <c r="AZ96" s="149"/>
      <c r="BA96" s="149"/>
      <c r="BB96" s="149"/>
      <c r="BC96" s="149"/>
      <c r="BD96" s="149"/>
      <c r="BE96" s="151"/>
      <c r="BF96" s="149"/>
      <c r="BG96" s="149"/>
      <c r="BH96" s="149"/>
      <c r="BI96" s="149"/>
      <c r="BJ96" s="149"/>
      <c r="BK96" s="149"/>
      <c r="BL96" s="149"/>
      <c r="BM96" s="149"/>
      <c r="BN96" s="149"/>
      <c r="BO96" s="149"/>
      <c r="BP96" s="149"/>
      <c r="BQ96" s="149"/>
      <c r="BR96" s="149"/>
      <c r="BS96" s="149"/>
      <c r="BT96" s="149"/>
      <c r="BU96" s="149"/>
      <c r="BV96" s="149"/>
      <c r="BW96" s="149"/>
      <c r="BX96" s="149"/>
      <c r="BY96" s="149"/>
      <c r="BZ96" s="149"/>
      <c r="CA96" s="149"/>
      <c r="CB96" s="149"/>
      <c r="CC96" s="149"/>
      <c r="CD96" s="149"/>
      <c r="CE96" s="149"/>
      <c r="CF96" s="149"/>
      <c r="CG96" s="149"/>
      <c r="CH96" s="149"/>
      <c r="CI96" s="149"/>
      <c r="CJ96" s="149"/>
      <c r="CK96" s="149"/>
      <c r="CL96" s="149"/>
      <c r="CM96" s="149"/>
      <c r="CN96" s="149"/>
      <c r="CO96" s="149"/>
      <c r="CP96" s="149"/>
      <c r="CQ96" s="149"/>
      <c r="CR96" s="149"/>
      <c r="CS96" s="149"/>
      <c r="CT96" s="149"/>
      <c r="CU96" s="149"/>
      <c r="CV96" s="149"/>
      <c r="CW96" s="149"/>
      <c r="CX96" s="149"/>
      <c r="CY96" s="149"/>
      <c r="CZ96" s="149"/>
      <c r="DA96" s="149"/>
      <c r="DB96" s="149"/>
      <c r="DC96" s="149"/>
      <c r="DD96" s="149"/>
      <c r="DE96" s="149"/>
      <c r="DF96" s="149"/>
      <c r="DG96" s="149"/>
      <c r="DH96" s="149"/>
      <c r="DI96" s="149"/>
      <c r="DJ96" s="149"/>
      <c r="DK96" s="149"/>
      <c r="DL96" s="149"/>
      <c r="DM96" s="149"/>
      <c r="DN96" s="149"/>
      <c r="DO96" s="149"/>
      <c r="DP96" s="149"/>
      <c r="DQ96" s="149"/>
      <c r="DR96" s="149"/>
      <c r="DS96" s="149"/>
      <c r="DT96" s="149"/>
      <c r="DU96" s="149"/>
      <c r="DV96" s="149"/>
      <c r="DW96" s="149"/>
      <c r="DX96" s="149"/>
      <c r="DY96" s="149"/>
      <c r="DZ96" s="149"/>
      <c r="EA96" s="149"/>
      <c r="EB96" s="149"/>
      <c r="EC96" s="149"/>
      <c r="ED96" s="149"/>
      <c r="EE96" s="149"/>
      <c r="EF96" s="149"/>
      <c r="EG96" s="149"/>
      <c r="EH96" s="149"/>
      <c r="EI96" s="149"/>
      <c r="EJ96" s="149"/>
      <c r="EK96" s="149"/>
      <c r="EL96" s="149"/>
      <c r="EM96" s="149"/>
      <c r="EN96" s="149"/>
      <c r="EO96" s="149"/>
      <c r="EP96" s="149"/>
      <c r="EQ96" s="149"/>
      <c r="ER96" s="149"/>
      <c r="ES96" s="149"/>
      <c r="ET96" s="149"/>
      <c r="EU96" s="149"/>
      <c r="EV96" s="149"/>
      <c r="EW96" s="149"/>
      <c r="EX96" s="149"/>
      <c r="EY96" s="149"/>
      <c r="EZ96" s="149"/>
      <c r="FA96" s="149"/>
      <c r="FB96" s="149"/>
      <c r="FC96" s="149"/>
      <c r="FD96" s="149"/>
      <c r="FE96" s="149"/>
      <c r="FF96" s="149"/>
      <c r="FG96" s="149"/>
      <c r="FH96" s="149"/>
      <c r="FI96" s="149"/>
      <c r="FJ96" s="149"/>
      <c r="FK96" s="149"/>
      <c r="FL96" s="149"/>
      <c r="FM96" s="149"/>
      <c r="FN96" s="149"/>
      <c r="FO96" s="149"/>
      <c r="FP96" s="149"/>
      <c r="FQ96" s="149"/>
      <c r="FR96" s="149"/>
      <c r="FS96" s="149"/>
      <c r="FT96" s="149"/>
      <c r="FU96" s="149"/>
      <c r="FV96" s="149"/>
      <c r="FW96" s="149"/>
      <c r="FX96" s="149"/>
      <c r="FY96" s="149"/>
      <c r="FZ96" s="149"/>
      <c r="GA96" s="149"/>
      <c r="GB96" s="149"/>
      <c r="GC96" s="149"/>
      <c r="GD96" s="149"/>
      <c r="GE96" s="149"/>
    </row>
    <row r="97" spans="1:187">
      <c r="A97" s="149"/>
      <c r="B97" s="149"/>
      <c r="C97" s="149"/>
      <c r="D97" s="149"/>
      <c r="E97" s="149"/>
      <c r="F97" s="149"/>
      <c r="G97" s="149"/>
      <c r="H97" s="149"/>
      <c r="I97" s="149"/>
      <c r="J97" s="149"/>
      <c r="K97" s="149"/>
      <c r="L97" s="149"/>
      <c r="M97" s="149"/>
      <c r="N97" s="151"/>
      <c r="O97" s="149"/>
      <c r="P97" s="149"/>
      <c r="Q97" s="149"/>
      <c r="R97" s="149"/>
      <c r="S97" s="149"/>
      <c r="T97" s="149"/>
      <c r="U97" s="149"/>
      <c r="V97" s="149"/>
      <c r="W97" s="149"/>
      <c r="X97" s="149"/>
      <c r="Y97" s="149"/>
      <c r="Z97" s="149"/>
      <c r="AA97" s="149"/>
      <c r="AB97" s="149"/>
      <c r="AC97" s="149"/>
      <c r="AD97" s="149"/>
      <c r="AE97" s="149"/>
      <c r="AF97" s="149"/>
      <c r="AG97" s="149"/>
      <c r="AH97" s="149"/>
      <c r="AI97" s="149"/>
      <c r="AJ97" s="149"/>
      <c r="AK97" s="149"/>
      <c r="AL97" s="149"/>
      <c r="AM97" s="149"/>
      <c r="AN97" s="149"/>
      <c r="AO97" s="149"/>
      <c r="AP97" s="149"/>
      <c r="AQ97" s="149"/>
      <c r="AR97" s="149"/>
      <c r="AS97" s="149"/>
      <c r="AT97" s="149"/>
      <c r="AU97" s="149"/>
      <c r="AV97" s="149"/>
      <c r="AW97" s="149"/>
      <c r="AX97" s="149"/>
      <c r="AY97" s="149"/>
      <c r="AZ97" s="149"/>
      <c r="BA97" s="149"/>
      <c r="BB97" s="149"/>
      <c r="BC97" s="149"/>
      <c r="BD97" s="149"/>
      <c r="BE97" s="151"/>
      <c r="BF97" s="149"/>
      <c r="BG97" s="149"/>
      <c r="BH97" s="149"/>
      <c r="BI97" s="149"/>
      <c r="BJ97" s="149"/>
      <c r="BK97" s="149"/>
      <c r="BL97" s="149"/>
      <c r="BM97" s="149"/>
      <c r="BN97" s="149"/>
      <c r="BO97" s="149"/>
      <c r="BP97" s="149"/>
      <c r="BQ97" s="149"/>
      <c r="BR97" s="149"/>
      <c r="BS97" s="149"/>
      <c r="BT97" s="149"/>
      <c r="BU97" s="149"/>
      <c r="BV97" s="149"/>
      <c r="BW97" s="149"/>
      <c r="BX97" s="149"/>
      <c r="BY97" s="149"/>
      <c r="BZ97" s="149"/>
      <c r="CA97" s="149"/>
      <c r="CB97" s="149"/>
      <c r="CC97" s="149"/>
      <c r="CD97" s="149"/>
      <c r="CE97" s="149"/>
      <c r="CF97" s="149"/>
      <c r="CG97" s="149"/>
      <c r="CH97" s="149"/>
      <c r="CI97" s="149"/>
      <c r="CJ97" s="149"/>
      <c r="CK97" s="149"/>
      <c r="CL97" s="149"/>
      <c r="CM97" s="149"/>
      <c r="CN97" s="149"/>
      <c r="CO97" s="149"/>
      <c r="CP97" s="149"/>
      <c r="CQ97" s="149"/>
      <c r="CR97" s="149"/>
      <c r="CS97" s="149"/>
      <c r="CT97" s="149"/>
      <c r="CU97" s="149"/>
      <c r="CV97" s="149"/>
      <c r="CW97" s="149"/>
      <c r="CX97" s="149"/>
      <c r="CY97" s="149"/>
      <c r="CZ97" s="149"/>
      <c r="DA97" s="149"/>
      <c r="DB97" s="149"/>
      <c r="DC97" s="149"/>
      <c r="DD97" s="149"/>
      <c r="DE97" s="149"/>
      <c r="DF97" s="149"/>
      <c r="DG97" s="149"/>
      <c r="DH97" s="149"/>
      <c r="DI97" s="149"/>
      <c r="DJ97" s="149"/>
      <c r="DK97" s="149"/>
      <c r="DL97" s="149"/>
      <c r="DM97" s="149"/>
      <c r="DN97" s="149"/>
      <c r="DO97" s="149"/>
      <c r="DP97" s="149"/>
      <c r="DQ97" s="149"/>
      <c r="DR97" s="149"/>
      <c r="DS97" s="149"/>
      <c r="DT97" s="149"/>
      <c r="DU97" s="149"/>
      <c r="DV97" s="149"/>
      <c r="DW97" s="149"/>
      <c r="DX97" s="149"/>
      <c r="DY97" s="149"/>
      <c r="DZ97" s="149"/>
      <c r="EA97" s="149"/>
      <c r="EB97" s="149"/>
      <c r="EC97" s="149"/>
      <c r="ED97" s="149"/>
      <c r="EE97" s="149"/>
      <c r="EF97" s="149"/>
      <c r="EG97" s="149"/>
      <c r="EH97" s="149"/>
      <c r="EI97" s="149"/>
      <c r="EJ97" s="149"/>
      <c r="EK97" s="149"/>
      <c r="EL97" s="149"/>
      <c r="EM97" s="149"/>
      <c r="EN97" s="149"/>
      <c r="EO97" s="149"/>
      <c r="EP97" s="149"/>
      <c r="EQ97" s="149"/>
      <c r="ER97" s="149"/>
      <c r="ES97" s="149"/>
      <c r="ET97" s="149"/>
      <c r="EU97" s="149"/>
      <c r="EV97" s="149"/>
      <c r="EW97" s="149"/>
      <c r="EX97" s="149"/>
      <c r="EY97" s="149"/>
      <c r="EZ97" s="149"/>
      <c r="FA97" s="149"/>
      <c r="FB97" s="149"/>
      <c r="FC97" s="149"/>
      <c r="FD97" s="149"/>
      <c r="FE97" s="149"/>
      <c r="FF97" s="149"/>
      <c r="FG97" s="149"/>
      <c r="FH97" s="149"/>
      <c r="FI97" s="149"/>
      <c r="FJ97" s="149"/>
      <c r="FK97" s="149"/>
      <c r="FL97" s="149"/>
      <c r="FM97" s="149"/>
      <c r="FN97" s="149"/>
      <c r="FO97" s="149"/>
      <c r="FP97" s="149"/>
      <c r="FQ97" s="149"/>
      <c r="FR97" s="149"/>
      <c r="FS97" s="149"/>
      <c r="FT97" s="149"/>
      <c r="FU97" s="149"/>
      <c r="FV97" s="149"/>
      <c r="FW97" s="149"/>
      <c r="FX97" s="149"/>
      <c r="FY97" s="149"/>
      <c r="FZ97" s="149"/>
      <c r="GA97" s="149"/>
      <c r="GB97" s="149"/>
      <c r="GC97" s="149"/>
      <c r="GD97" s="149"/>
      <c r="GE97" s="149"/>
    </row>
    <row r="98" spans="1:187">
      <c r="A98" s="149"/>
      <c r="B98" s="149"/>
      <c r="C98" s="149"/>
      <c r="D98" s="149"/>
      <c r="E98" s="149"/>
      <c r="F98" s="149"/>
      <c r="G98" s="149"/>
      <c r="H98" s="149"/>
      <c r="I98" s="149"/>
      <c r="J98" s="149"/>
      <c r="K98" s="149"/>
      <c r="L98" s="149"/>
      <c r="M98" s="149"/>
      <c r="N98" s="151"/>
      <c r="O98" s="149"/>
      <c r="P98" s="149"/>
      <c r="Q98" s="149"/>
      <c r="R98" s="149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  <c r="AC98" s="149"/>
      <c r="AD98" s="149"/>
      <c r="AE98" s="149"/>
      <c r="AF98" s="149"/>
      <c r="AG98" s="149"/>
      <c r="AH98" s="149"/>
      <c r="AI98" s="149"/>
      <c r="AJ98" s="149"/>
      <c r="AK98" s="149"/>
      <c r="AL98" s="149"/>
      <c r="AM98" s="149"/>
      <c r="AN98" s="149"/>
      <c r="AO98" s="149"/>
      <c r="AP98" s="149"/>
      <c r="AQ98" s="149"/>
      <c r="AR98" s="149"/>
      <c r="AS98" s="149"/>
      <c r="AT98" s="149"/>
      <c r="AU98" s="149"/>
      <c r="AV98" s="149"/>
      <c r="AW98" s="149"/>
      <c r="AX98" s="149"/>
      <c r="AY98" s="149"/>
      <c r="AZ98" s="149"/>
      <c r="BA98" s="149"/>
      <c r="BB98" s="149"/>
      <c r="BC98" s="149"/>
      <c r="BD98" s="149"/>
      <c r="BE98" s="151"/>
      <c r="BF98" s="149"/>
      <c r="BG98" s="149"/>
      <c r="BH98" s="149"/>
      <c r="BI98" s="149"/>
      <c r="BJ98" s="149"/>
      <c r="BK98" s="149"/>
      <c r="BL98" s="149"/>
      <c r="BM98" s="149"/>
      <c r="BN98" s="149"/>
      <c r="BO98" s="149"/>
      <c r="BP98" s="149"/>
      <c r="BQ98" s="149"/>
      <c r="BR98" s="149"/>
      <c r="BS98" s="149"/>
      <c r="BT98" s="149"/>
      <c r="BU98" s="149"/>
      <c r="BV98" s="149"/>
      <c r="BW98" s="149"/>
      <c r="BX98" s="149"/>
      <c r="BY98" s="149"/>
      <c r="BZ98" s="149"/>
      <c r="CA98" s="149"/>
      <c r="CB98" s="149"/>
      <c r="CC98" s="149"/>
      <c r="CD98" s="149"/>
      <c r="CE98" s="149"/>
      <c r="CF98" s="149"/>
      <c r="CG98" s="149"/>
      <c r="CH98" s="149"/>
      <c r="CI98" s="149"/>
      <c r="CJ98" s="149"/>
      <c r="CK98" s="149"/>
      <c r="CL98" s="149"/>
      <c r="CM98" s="149"/>
      <c r="CN98" s="149"/>
      <c r="CO98" s="149"/>
      <c r="CP98" s="149"/>
      <c r="CQ98" s="149"/>
      <c r="CR98" s="149"/>
      <c r="CS98" s="149"/>
      <c r="CT98" s="149"/>
      <c r="CU98" s="149"/>
      <c r="CV98" s="149"/>
      <c r="CW98" s="149"/>
      <c r="CX98" s="149"/>
      <c r="CY98" s="149"/>
      <c r="CZ98" s="149"/>
      <c r="DA98" s="149"/>
      <c r="DB98" s="149"/>
      <c r="DC98" s="149"/>
      <c r="DD98" s="149"/>
      <c r="DE98" s="149"/>
      <c r="DF98" s="149"/>
      <c r="DG98" s="149"/>
      <c r="DH98" s="149"/>
      <c r="DI98" s="149"/>
      <c r="DJ98" s="149"/>
      <c r="DK98" s="149"/>
      <c r="DL98" s="149"/>
      <c r="DM98" s="149"/>
      <c r="DN98" s="149"/>
      <c r="DO98" s="149"/>
      <c r="DP98" s="149"/>
      <c r="DQ98" s="149"/>
      <c r="DR98" s="149"/>
      <c r="DS98" s="149"/>
      <c r="DT98" s="149"/>
      <c r="DU98" s="149"/>
      <c r="DV98" s="149"/>
      <c r="DW98" s="149"/>
      <c r="DX98" s="149"/>
      <c r="DY98" s="149"/>
      <c r="DZ98" s="149"/>
      <c r="EA98" s="149"/>
      <c r="EB98" s="149"/>
      <c r="EC98" s="149"/>
      <c r="ED98" s="149"/>
      <c r="EE98" s="149"/>
      <c r="EF98" s="149"/>
      <c r="EG98" s="149"/>
      <c r="EH98" s="149"/>
      <c r="EI98" s="149"/>
      <c r="EJ98" s="149"/>
      <c r="EK98" s="149"/>
      <c r="EL98" s="149"/>
      <c r="EM98" s="149"/>
      <c r="EN98" s="149"/>
      <c r="EO98" s="149"/>
      <c r="EP98" s="149"/>
      <c r="EQ98" s="149"/>
      <c r="ER98" s="149"/>
      <c r="ES98" s="149"/>
      <c r="ET98" s="149"/>
      <c r="EU98" s="149"/>
      <c r="EV98" s="149"/>
      <c r="EW98" s="149"/>
      <c r="EX98" s="149"/>
      <c r="EY98" s="149"/>
      <c r="EZ98" s="149"/>
      <c r="FA98" s="149"/>
      <c r="FB98" s="149"/>
      <c r="FC98" s="149"/>
      <c r="FD98" s="149"/>
      <c r="FE98" s="149"/>
      <c r="FF98" s="149"/>
      <c r="FG98" s="149"/>
      <c r="FH98" s="149"/>
      <c r="FI98" s="149"/>
      <c r="FJ98" s="149"/>
      <c r="FK98" s="149"/>
      <c r="FL98" s="149"/>
      <c r="FM98" s="149"/>
      <c r="FN98" s="149"/>
      <c r="FO98" s="149"/>
      <c r="FP98" s="149"/>
      <c r="FQ98" s="149"/>
      <c r="FR98" s="149"/>
      <c r="FS98" s="149"/>
      <c r="FT98" s="149"/>
      <c r="FU98" s="149"/>
      <c r="FV98" s="149"/>
      <c r="FW98" s="149"/>
      <c r="FX98" s="149"/>
      <c r="FY98" s="149"/>
      <c r="FZ98" s="149"/>
      <c r="GA98" s="149"/>
      <c r="GB98" s="149"/>
      <c r="GC98" s="149"/>
      <c r="GD98" s="149"/>
      <c r="GE98" s="149"/>
    </row>
    <row r="99" spans="1:187">
      <c r="A99" s="149"/>
      <c r="B99" s="149"/>
      <c r="C99" s="149"/>
      <c r="D99" s="149"/>
      <c r="E99" s="149"/>
      <c r="F99" s="149"/>
      <c r="G99" s="149"/>
      <c r="H99" s="149"/>
      <c r="I99" s="149"/>
      <c r="J99" s="149"/>
      <c r="K99" s="149"/>
      <c r="L99" s="149"/>
      <c r="M99" s="149"/>
      <c r="N99" s="151"/>
      <c r="O99" s="149"/>
      <c r="P99" s="149"/>
      <c r="Q99" s="149"/>
      <c r="R99" s="149"/>
      <c r="S99" s="149"/>
      <c r="T99" s="149"/>
      <c r="U99" s="149"/>
      <c r="V99" s="149"/>
      <c r="W99" s="149"/>
      <c r="X99" s="149"/>
      <c r="Y99" s="149"/>
      <c r="Z99" s="149"/>
      <c r="AA99" s="149"/>
      <c r="AB99" s="149"/>
      <c r="AC99" s="149"/>
      <c r="AD99" s="149"/>
      <c r="AE99" s="149"/>
      <c r="AF99" s="149"/>
      <c r="AG99" s="149"/>
      <c r="AH99" s="149"/>
      <c r="AI99" s="149"/>
      <c r="AJ99" s="149"/>
      <c r="AK99" s="149"/>
      <c r="AL99" s="149"/>
      <c r="AM99" s="149"/>
      <c r="AN99" s="149"/>
      <c r="AO99" s="149"/>
      <c r="AP99" s="149"/>
      <c r="AQ99" s="149"/>
      <c r="AR99" s="149"/>
      <c r="AS99" s="149"/>
      <c r="AT99" s="149"/>
      <c r="AU99" s="149"/>
      <c r="AV99" s="149"/>
      <c r="AW99" s="149"/>
      <c r="AX99" s="149"/>
      <c r="AY99" s="149"/>
      <c r="AZ99" s="149"/>
      <c r="BA99" s="149"/>
      <c r="BB99" s="149"/>
      <c r="BC99" s="149"/>
      <c r="BD99" s="149"/>
      <c r="BE99" s="151"/>
      <c r="BF99" s="149"/>
      <c r="BG99" s="149"/>
      <c r="BH99" s="149"/>
      <c r="BI99" s="149"/>
      <c r="BJ99" s="149"/>
      <c r="BK99" s="149"/>
      <c r="BL99" s="149"/>
      <c r="BM99" s="149"/>
      <c r="BN99" s="149"/>
      <c r="BO99" s="149"/>
      <c r="BP99" s="149"/>
      <c r="BQ99" s="149"/>
      <c r="BR99" s="149"/>
      <c r="BS99" s="149"/>
      <c r="BT99" s="149"/>
      <c r="BU99" s="149"/>
      <c r="BV99" s="149"/>
      <c r="BW99" s="149"/>
      <c r="BX99" s="149"/>
      <c r="BY99" s="149"/>
      <c r="BZ99" s="149"/>
      <c r="CA99" s="149"/>
      <c r="CB99" s="149"/>
      <c r="CC99" s="149"/>
      <c r="CD99" s="149"/>
      <c r="CE99" s="149"/>
      <c r="CF99" s="149"/>
      <c r="CG99" s="149"/>
      <c r="CH99" s="149"/>
      <c r="CI99" s="149"/>
      <c r="CJ99" s="149"/>
      <c r="CK99" s="149"/>
      <c r="CL99" s="149"/>
      <c r="CM99" s="149"/>
      <c r="CN99" s="149"/>
      <c r="CO99" s="149"/>
      <c r="CP99" s="149"/>
      <c r="CQ99" s="149"/>
      <c r="CR99" s="149"/>
      <c r="CS99" s="149"/>
      <c r="CT99" s="149"/>
      <c r="CU99" s="149"/>
      <c r="CV99" s="149"/>
      <c r="CW99" s="149"/>
      <c r="CX99" s="149"/>
      <c r="CY99" s="149"/>
      <c r="CZ99" s="149"/>
      <c r="DA99" s="149"/>
      <c r="DB99" s="149"/>
      <c r="DC99" s="149"/>
      <c r="DD99" s="149"/>
      <c r="DE99" s="149"/>
      <c r="DF99" s="149"/>
      <c r="DG99" s="149"/>
      <c r="DH99" s="149"/>
      <c r="DI99" s="149"/>
      <c r="DJ99" s="149"/>
      <c r="DK99" s="149"/>
      <c r="DL99" s="149"/>
      <c r="DM99" s="149"/>
      <c r="DN99" s="149"/>
      <c r="DO99" s="149"/>
      <c r="DP99" s="149"/>
      <c r="DQ99" s="149"/>
      <c r="DR99" s="149"/>
      <c r="DS99" s="149"/>
      <c r="DT99" s="149"/>
      <c r="DU99" s="149"/>
      <c r="DV99" s="149"/>
      <c r="DW99" s="149"/>
      <c r="DX99" s="149"/>
      <c r="DY99" s="149"/>
      <c r="DZ99" s="149"/>
      <c r="EA99" s="149"/>
      <c r="EB99" s="149"/>
      <c r="EC99" s="149"/>
      <c r="ED99" s="149"/>
      <c r="EE99" s="149"/>
      <c r="EF99" s="149"/>
      <c r="EG99" s="149"/>
      <c r="EH99" s="149"/>
      <c r="EI99" s="149"/>
      <c r="EJ99" s="149"/>
      <c r="EK99" s="149"/>
      <c r="EL99" s="149"/>
      <c r="EM99" s="149"/>
      <c r="EN99" s="149"/>
      <c r="EO99" s="149"/>
      <c r="EP99" s="149"/>
      <c r="EQ99" s="149"/>
      <c r="ER99" s="149"/>
      <c r="ES99" s="149"/>
      <c r="ET99" s="149"/>
      <c r="EU99" s="149"/>
      <c r="EV99" s="149"/>
      <c r="EW99" s="149"/>
      <c r="EX99" s="149"/>
      <c r="EY99" s="149"/>
      <c r="EZ99" s="149"/>
      <c r="FA99" s="149"/>
      <c r="FB99" s="149"/>
      <c r="FC99" s="149"/>
      <c r="FD99" s="149"/>
      <c r="FE99" s="149"/>
      <c r="FF99" s="149"/>
      <c r="FG99" s="149"/>
      <c r="FH99" s="149"/>
      <c r="FI99" s="149"/>
      <c r="FJ99" s="149"/>
      <c r="FK99" s="149"/>
      <c r="FL99" s="149"/>
      <c r="FM99" s="149"/>
      <c r="FN99" s="149"/>
      <c r="FO99" s="149"/>
      <c r="FP99" s="149"/>
      <c r="FQ99" s="149"/>
      <c r="FR99" s="149"/>
      <c r="FS99" s="149"/>
      <c r="FT99" s="149"/>
      <c r="FU99" s="149"/>
      <c r="FV99" s="149"/>
      <c r="FW99" s="149"/>
      <c r="FX99" s="149"/>
      <c r="FY99" s="149"/>
      <c r="FZ99" s="149"/>
      <c r="GA99" s="149"/>
      <c r="GB99" s="149"/>
      <c r="GC99" s="149"/>
      <c r="GD99" s="149"/>
      <c r="GE99" s="149"/>
    </row>
    <row r="100" spans="1:187">
      <c r="A100" s="149"/>
      <c r="B100" s="149"/>
      <c r="C100" s="149"/>
      <c r="D100" s="149"/>
      <c r="E100" s="149"/>
      <c r="F100" s="149"/>
      <c r="G100" s="149"/>
      <c r="H100" s="149"/>
      <c r="I100" s="149"/>
      <c r="J100" s="149"/>
      <c r="K100" s="149"/>
      <c r="L100" s="149"/>
      <c r="M100" s="149"/>
      <c r="N100" s="151"/>
      <c r="O100" s="149"/>
      <c r="P100" s="149"/>
      <c r="Q100" s="149"/>
      <c r="R100" s="149"/>
      <c r="S100" s="149"/>
      <c r="T100" s="149"/>
      <c r="U100" s="149"/>
      <c r="V100" s="149"/>
      <c r="W100" s="149"/>
      <c r="X100" s="149"/>
      <c r="Y100" s="149"/>
      <c r="Z100" s="149"/>
      <c r="AA100" s="149"/>
      <c r="AB100" s="149"/>
      <c r="AC100" s="149"/>
      <c r="AD100" s="149"/>
      <c r="AE100" s="149"/>
      <c r="AF100" s="149"/>
      <c r="AG100" s="149"/>
      <c r="AH100" s="149"/>
      <c r="AI100" s="149"/>
      <c r="AJ100" s="149"/>
      <c r="AK100" s="149"/>
      <c r="AL100" s="149"/>
      <c r="AM100" s="149"/>
      <c r="AN100" s="149"/>
      <c r="AO100" s="149"/>
      <c r="AP100" s="149"/>
      <c r="AQ100" s="149"/>
      <c r="AR100" s="149"/>
      <c r="AS100" s="149"/>
      <c r="AT100" s="149"/>
      <c r="AU100" s="149"/>
      <c r="AV100" s="149"/>
      <c r="AW100" s="149"/>
      <c r="AX100" s="149"/>
      <c r="AY100" s="149"/>
      <c r="AZ100" s="149"/>
      <c r="BA100" s="149"/>
      <c r="BB100" s="149"/>
      <c r="BC100" s="149"/>
      <c r="BD100" s="149"/>
      <c r="BE100" s="151"/>
      <c r="BF100" s="149"/>
      <c r="BG100" s="149"/>
      <c r="BH100" s="149"/>
      <c r="BI100" s="149"/>
      <c r="BJ100" s="149"/>
      <c r="BK100" s="149"/>
      <c r="BL100" s="149"/>
      <c r="BM100" s="149"/>
      <c r="BN100" s="149"/>
      <c r="BO100" s="149"/>
      <c r="BP100" s="149"/>
      <c r="BQ100" s="149"/>
      <c r="BR100" s="149"/>
      <c r="BS100" s="149"/>
      <c r="BT100" s="149"/>
      <c r="BU100" s="149"/>
      <c r="BV100" s="149"/>
      <c r="BW100" s="149"/>
      <c r="BX100" s="149"/>
      <c r="BY100" s="149"/>
      <c r="BZ100" s="149"/>
      <c r="CA100" s="149"/>
      <c r="CB100" s="149"/>
      <c r="CC100" s="149"/>
      <c r="CD100" s="149"/>
      <c r="CE100" s="149"/>
      <c r="CF100" s="149"/>
      <c r="CG100" s="149"/>
      <c r="CH100" s="149"/>
      <c r="CI100" s="149"/>
      <c r="CJ100" s="149"/>
      <c r="CK100" s="149"/>
      <c r="CL100" s="149"/>
      <c r="CM100" s="149"/>
      <c r="CN100" s="149"/>
      <c r="CO100" s="149"/>
      <c r="CP100" s="149"/>
      <c r="CQ100" s="149"/>
      <c r="CR100" s="149"/>
      <c r="CS100" s="149"/>
      <c r="CT100" s="149"/>
      <c r="CU100" s="149"/>
      <c r="CV100" s="149"/>
      <c r="CW100" s="149"/>
      <c r="CX100" s="149"/>
      <c r="CY100" s="149"/>
      <c r="CZ100" s="149"/>
      <c r="DA100" s="149"/>
      <c r="DB100" s="149"/>
      <c r="DC100" s="149"/>
      <c r="DD100" s="149"/>
      <c r="DE100" s="149"/>
      <c r="DF100" s="149"/>
      <c r="DG100" s="149"/>
      <c r="DH100" s="149"/>
      <c r="DI100" s="149"/>
      <c r="DJ100" s="149"/>
      <c r="DK100" s="149"/>
      <c r="DL100" s="149"/>
      <c r="DM100" s="149"/>
      <c r="DN100" s="149"/>
      <c r="DO100" s="149"/>
      <c r="DP100" s="149"/>
      <c r="DQ100" s="149"/>
      <c r="DR100" s="149"/>
      <c r="DS100" s="149"/>
      <c r="DT100" s="149"/>
      <c r="DU100" s="149"/>
      <c r="DV100" s="149"/>
      <c r="DW100" s="149"/>
      <c r="DX100" s="149"/>
      <c r="DY100" s="149"/>
      <c r="DZ100" s="149"/>
      <c r="EA100" s="149"/>
      <c r="EB100" s="149"/>
      <c r="EC100" s="149"/>
      <c r="ED100" s="149"/>
      <c r="EE100" s="149"/>
      <c r="EF100" s="149"/>
      <c r="EG100" s="149"/>
      <c r="EH100" s="149"/>
      <c r="EI100" s="149"/>
      <c r="EJ100" s="149"/>
      <c r="EK100" s="149"/>
      <c r="EL100" s="149"/>
      <c r="EM100" s="149"/>
      <c r="EN100" s="149"/>
      <c r="EO100" s="149"/>
      <c r="EP100" s="149"/>
      <c r="EQ100" s="149"/>
      <c r="ER100" s="149"/>
      <c r="ES100" s="149"/>
      <c r="ET100" s="149"/>
      <c r="EU100" s="149"/>
      <c r="EV100" s="149"/>
      <c r="EW100" s="149"/>
      <c r="EX100" s="149"/>
      <c r="EY100" s="149"/>
      <c r="EZ100" s="149"/>
      <c r="FA100" s="149"/>
      <c r="FB100" s="149"/>
      <c r="FC100" s="149"/>
      <c r="FD100" s="149"/>
      <c r="FE100" s="149"/>
      <c r="FF100" s="149"/>
      <c r="FG100" s="149"/>
      <c r="FH100" s="149"/>
      <c r="FI100" s="149"/>
      <c r="FJ100" s="149"/>
      <c r="FK100" s="149"/>
      <c r="FL100" s="149"/>
      <c r="FM100" s="149"/>
      <c r="FN100" s="149"/>
      <c r="FO100" s="149"/>
      <c r="FP100" s="149"/>
      <c r="FQ100" s="149"/>
      <c r="FR100" s="149"/>
      <c r="FS100" s="149"/>
      <c r="FT100" s="149"/>
      <c r="FU100" s="149"/>
      <c r="FV100" s="149"/>
      <c r="FW100" s="149"/>
      <c r="FX100" s="149"/>
      <c r="FY100" s="149"/>
      <c r="FZ100" s="149"/>
      <c r="GA100" s="149"/>
      <c r="GB100" s="149"/>
      <c r="GC100" s="149"/>
      <c r="GD100" s="149"/>
      <c r="GE100" s="149"/>
    </row>
    <row r="101" spans="1:187">
      <c r="A101" s="149"/>
      <c r="B101" s="149"/>
      <c r="C101" s="149"/>
      <c r="D101" s="149"/>
      <c r="E101" s="149"/>
      <c r="F101" s="149"/>
      <c r="G101" s="149"/>
      <c r="H101" s="149"/>
      <c r="I101" s="149"/>
      <c r="J101" s="149"/>
      <c r="K101" s="149"/>
      <c r="L101" s="149"/>
      <c r="M101" s="149"/>
      <c r="N101" s="151"/>
      <c r="O101" s="149"/>
      <c r="P101" s="149"/>
      <c r="Q101" s="149"/>
      <c r="R101" s="149"/>
      <c r="S101" s="149"/>
      <c r="T101" s="149"/>
      <c r="U101" s="149"/>
      <c r="V101" s="149"/>
      <c r="W101" s="149"/>
      <c r="X101" s="149"/>
      <c r="Y101" s="149"/>
      <c r="Z101" s="149"/>
      <c r="AA101" s="149"/>
      <c r="AB101" s="149"/>
      <c r="AC101" s="149"/>
      <c r="AD101" s="149"/>
      <c r="AE101" s="149"/>
      <c r="AF101" s="149"/>
      <c r="AG101" s="149"/>
      <c r="AH101" s="149"/>
      <c r="AI101" s="149"/>
      <c r="AJ101" s="149"/>
      <c r="AK101" s="149"/>
      <c r="AL101" s="149"/>
      <c r="AM101" s="149"/>
      <c r="AN101" s="149"/>
      <c r="AO101" s="149"/>
      <c r="AP101" s="149"/>
      <c r="AQ101" s="149"/>
      <c r="AR101" s="149"/>
      <c r="AS101" s="149"/>
      <c r="AT101" s="149"/>
      <c r="AU101" s="149"/>
      <c r="AV101" s="149"/>
      <c r="AW101" s="149"/>
      <c r="AX101" s="149"/>
      <c r="AY101" s="149"/>
      <c r="AZ101" s="149"/>
      <c r="BA101" s="149"/>
      <c r="BB101" s="149"/>
      <c r="BC101" s="149"/>
      <c r="BD101" s="149"/>
      <c r="BE101" s="151"/>
      <c r="BF101" s="149"/>
      <c r="BG101" s="149"/>
      <c r="BH101" s="149"/>
      <c r="BI101" s="149"/>
      <c r="BJ101" s="149"/>
      <c r="BK101" s="149"/>
      <c r="BL101" s="149"/>
      <c r="BM101" s="149"/>
      <c r="BN101" s="149"/>
      <c r="BO101" s="149"/>
      <c r="BP101" s="149"/>
      <c r="BQ101" s="149"/>
      <c r="BR101" s="149"/>
      <c r="BS101" s="149"/>
      <c r="BT101" s="149"/>
      <c r="BU101" s="149"/>
      <c r="BV101" s="149"/>
      <c r="BW101" s="149"/>
      <c r="BX101" s="149"/>
      <c r="BY101" s="149"/>
      <c r="BZ101" s="149"/>
      <c r="CA101" s="149"/>
      <c r="CB101" s="149"/>
      <c r="CC101" s="149"/>
      <c r="CD101" s="149"/>
      <c r="CE101" s="149"/>
      <c r="CF101" s="149"/>
      <c r="CG101" s="149"/>
      <c r="CH101" s="149"/>
      <c r="CI101" s="149"/>
      <c r="CJ101" s="149"/>
      <c r="CK101" s="149"/>
      <c r="CL101" s="149"/>
      <c r="CM101" s="149"/>
      <c r="CN101" s="149"/>
      <c r="CO101" s="149"/>
      <c r="CP101" s="149"/>
      <c r="CQ101" s="149"/>
      <c r="CR101" s="149"/>
      <c r="CS101" s="149"/>
      <c r="CT101" s="149"/>
      <c r="CU101" s="149"/>
      <c r="CV101" s="149"/>
      <c r="CW101" s="149"/>
      <c r="CX101" s="149"/>
      <c r="CY101" s="149"/>
      <c r="CZ101" s="149"/>
      <c r="DA101" s="149"/>
      <c r="DB101" s="149"/>
      <c r="DC101" s="149"/>
      <c r="DD101" s="149"/>
      <c r="DE101" s="149"/>
      <c r="DF101" s="149"/>
      <c r="DG101" s="149"/>
      <c r="DH101" s="149"/>
      <c r="DI101" s="149"/>
      <c r="DJ101" s="149"/>
      <c r="DK101" s="149"/>
      <c r="DL101" s="149"/>
      <c r="DM101" s="149"/>
      <c r="DN101" s="149"/>
      <c r="DO101" s="149"/>
      <c r="DP101" s="149"/>
      <c r="DQ101" s="149"/>
      <c r="DR101" s="149"/>
      <c r="DS101" s="149"/>
      <c r="DT101" s="149"/>
      <c r="DU101" s="149"/>
      <c r="DV101" s="149"/>
      <c r="DW101" s="149"/>
      <c r="DX101" s="149"/>
      <c r="DY101" s="149"/>
      <c r="DZ101" s="149"/>
      <c r="EA101" s="149"/>
      <c r="EB101" s="149"/>
      <c r="EC101" s="149"/>
      <c r="ED101" s="149"/>
      <c r="EE101" s="149"/>
      <c r="EF101" s="149"/>
      <c r="EG101" s="149"/>
      <c r="EH101" s="149"/>
      <c r="EI101" s="149"/>
      <c r="EJ101" s="149"/>
      <c r="EK101" s="149"/>
      <c r="EL101" s="149"/>
      <c r="EM101" s="149"/>
      <c r="EN101" s="149"/>
      <c r="EO101" s="149"/>
      <c r="EP101" s="149"/>
      <c r="EQ101" s="149"/>
      <c r="ER101" s="149"/>
      <c r="ES101" s="149"/>
      <c r="ET101" s="149"/>
      <c r="EU101" s="149"/>
      <c r="EV101" s="149"/>
      <c r="EW101" s="149"/>
      <c r="EX101" s="149"/>
      <c r="EY101" s="149"/>
      <c r="EZ101" s="149"/>
      <c r="FA101" s="149"/>
      <c r="FB101" s="149"/>
      <c r="FC101" s="149"/>
      <c r="FD101" s="149"/>
      <c r="FE101" s="149"/>
      <c r="FF101" s="149"/>
      <c r="FG101" s="149"/>
      <c r="FH101" s="149"/>
      <c r="FI101" s="149"/>
      <c r="FJ101" s="149"/>
      <c r="FK101" s="149"/>
      <c r="FL101" s="149"/>
      <c r="FM101" s="149"/>
      <c r="FN101" s="149"/>
      <c r="FO101" s="149"/>
      <c r="FP101" s="149"/>
      <c r="FQ101" s="149"/>
      <c r="FR101" s="149"/>
      <c r="FS101" s="149"/>
      <c r="FT101" s="149"/>
      <c r="FU101" s="149"/>
      <c r="FV101" s="149"/>
      <c r="FW101" s="149"/>
      <c r="FX101" s="149"/>
      <c r="FY101" s="149"/>
      <c r="FZ101" s="149"/>
      <c r="GA101" s="149"/>
      <c r="GB101" s="149"/>
      <c r="GC101" s="149"/>
      <c r="GD101" s="149"/>
      <c r="GE101" s="149"/>
    </row>
    <row r="102" spans="1:187">
      <c r="A102" s="149"/>
      <c r="B102" s="149"/>
      <c r="C102" s="149"/>
      <c r="D102" s="149"/>
      <c r="E102" s="149"/>
      <c r="F102" s="149"/>
      <c r="G102" s="149"/>
      <c r="H102" s="149"/>
      <c r="I102" s="149"/>
      <c r="J102" s="149"/>
      <c r="K102" s="149"/>
      <c r="L102" s="149"/>
      <c r="M102" s="149"/>
      <c r="N102" s="151"/>
      <c r="O102" s="149"/>
      <c r="P102" s="149"/>
      <c r="Q102" s="149"/>
      <c r="R102" s="149"/>
      <c r="S102" s="149"/>
      <c r="T102" s="149"/>
      <c r="U102" s="149"/>
      <c r="V102" s="149"/>
      <c r="W102" s="149"/>
      <c r="X102" s="149"/>
      <c r="Y102" s="149"/>
      <c r="Z102" s="149"/>
      <c r="AA102" s="149"/>
      <c r="AB102" s="149"/>
      <c r="AC102" s="149"/>
      <c r="AD102" s="149"/>
      <c r="AE102" s="149"/>
      <c r="AF102" s="149"/>
      <c r="AG102" s="149"/>
      <c r="AH102" s="149"/>
      <c r="AI102" s="149"/>
      <c r="AJ102" s="149"/>
      <c r="AK102" s="149"/>
      <c r="AL102" s="149"/>
      <c r="AM102" s="149"/>
      <c r="AN102" s="149"/>
      <c r="AO102" s="149"/>
      <c r="AP102" s="149"/>
      <c r="AQ102" s="149"/>
      <c r="AR102" s="149"/>
      <c r="AS102" s="149"/>
      <c r="AT102" s="149"/>
      <c r="AU102" s="149"/>
      <c r="AV102" s="149"/>
      <c r="AW102" s="149"/>
      <c r="AX102" s="149"/>
      <c r="AY102" s="149"/>
      <c r="AZ102" s="149"/>
      <c r="BA102" s="149"/>
      <c r="BB102" s="149"/>
      <c r="BC102" s="149"/>
      <c r="BD102" s="149"/>
      <c r="BE102" s="151"/>
      <c r="BF102" s="149"/>
      <c r="BG102" s="149"/>
      <c r="BH102" s="149"/>
      <c r="BI102" s="149"/>
      <c r="BJ102" s="149"/>
      <c r="BK102" s="149"/>
      <c r="BL102" s="149"/>
      <c r="BM102" s="149"/>
      <c r="BN102" s="149"/>
      <c r="BO102" s="149"/>
      <c r="BP102" s="149"/>
      <c r="BQ102" s="149"/>
      <c r="BR102" s="149"/>
      <c r="BS102" s="149"/>
      <c r="BT102" s="149"/>
      <c r="BU102" s="149"/>
      <c r="BV102" s="149"/>
      <c r="BW102" s="149"/>
      <c r="BX102" s="149"/>
      <c r="BY102" s="149"/>
      <c r="BZ102" s="149"/>
      <c r="CA102" s="149"/>
      <c r="CB102" s="149"/>
      <c r="CC102" s="149"/>
      <c r="CD102" s="149"/>
      <c r="CE102" s="149"/>
      <c r="CF102" s="149"/>
      <c r="CG102" s="149"/>
      <c r="CH102" s="149"/>
      <c r="CI102" s="149"/>
      <c r="CJ102" s="149"/>
      <c r="CK102" s="149"/>
      <c r="CL102" s="149"/>
      <c r="CM102" s="149"/>
      <c r="CN102" s="149"/>
      <c r="CO102" s="149"/>
      <c r="CP102" s="149"/>
      <c r="CQ102" s="149"/>
      <c r="CR102" s="149"/>
      <c r="CS102" s="149"/>
      <c r="CT102" s="149"/>
      <c r="CU102" s="149"/>
      <c r="CV102" s="149"/>
      <c r="CW102" s="149"/>
      <c r="CX102" s="149"/>
      <c r="CY102" s="149"/>
      <c r="CZ102" s="149"/>
      <c r="DA102" s="149"/>
      <c r="DB102" s="149"/>
      <c r="DC102" s="149"/>
      <c r="DD102" s="149"/>
      <c r="DE102" s="149"/>
      <c r="DF102" s="149"/>
      <c r="DG102" s="149"/>
      <c r="DH102" s="149"/>
      <c r="DI102" s="149"/>
      <c r="DJ102" s="149"/>
      <c r="DK102" s="149"/>
      <c r="DL102" s="149"/>
      <c r="DM102" s="149"/>
      <c r="DN102" s="149"/>
      <c r="DO102" s="149"/>
      <c r="DP102" s="149"/>
      <c r="DQ102" s="149"/>
      <c r="DR102" s="149"/>
      <c r="DS102" s="149"/>
      <c r="DT102" s="149"/>
      <c r="DU102" s="149"/>
      <c r="DV102" s="149"/>
      <c r="DW102" s="149"/>
      <c r="DX102" s="149"/>
      <c r="DY102" s="149"/>
      <c r="DZ102" s="149"/>
      <c r="EA102" s="149"/>
      <c r="EB102" s="149"/>
      <c r="EC102" s="149"/>
      <c r="ED102" s="149"/>
      <c r="EE102" s="149"/>
      <c r="EF102" s="149"/>
      <c r="EG102" s="149"/>
      <c r="EH102" s="149"/>
      <c r="EI102" s="149"/>
      <c r="EJ102" s="149"/>
      <c r="EK102" s="149"/>
      <c r="EL102" s="149"/>
      <c r="EM102" s="149"/>
      <c r="EN102" s="149"/>
      <c r="EO102" s="149"/>
      <c r="EP102" s="149"/>
      <c r="EQ102" s="149"/>
      <c r="ER102" s="149"/>
      <c r="ES102" s="149"/>
      <c r="ET102" s="149"/>
      <c r="EU102" s="149"/>
      <c r="EV102" s="149"/>
      <c r="EW102" s="149"/>
      <c r="EX102" s="149"/>
      <c r="EY102" s="149"/>
      <c r="EZ102" s="149"/>
      <c r="FA102" s="149"/>
      <c r="FB102" s="149"/>
      <c r="FC102" s="149"/>
      <c r="FD102" s="149"/>
      <c r="FE102" s="149"/>
      <c r="FF102" s="149"/>
      <c r="FG102" s="149"/>
      <c r="FH102" s="149"/>
      <c r="FI102" s="149"/>
      <c r="FJ102" s="149"/>
      <c r="FK102" s="149"/>
      <c r="FL102" s="149"/>
      <c r="FM102" s="149"/>
      <c r="FN102" s="149"/>
      <c r="FO102" s="149"/>
      <c r="FP102" s="149"/>
      <c r="FQ102" s="149"/>
      <c r="FR102" s="149"/>
      <c r="FS102" s="149"/>
      <c r="FT102" s="149"/>
      <c r="FU102" s="149"/>
      <c r="FV102" s="149"/>
      <c r="FW102" s="149"/>
      <c r="FX102" s="149"/>
      <c r="FY102" s="149"/>
      <c r="FZ102" s="149"/>
      <c r="GA102" s="149"/>
      <c r="GB102" s="149"/>
      <c r="GC102" s="149"/>
      <c r="GD102" s="149"/>
      <c r="GE102" s="149"/>
    </row>
    <row r="103" spans="1:187">
      <c r="A103" s="149"/>
      <c r="B103" s="149"/>
      <c r="C103" s="149"/>
      <c r="D103" s="149"/>
      <c r="E103" s="149"/>
      <c r="F103" s="149"/>
      <c r="G103" s="149"/>
      <c r="H103" s="149"/>
      <c r="I103" s="149"/>
      <c r="J103" s="149"/>
      <c r="K103" s="149"/>
      <c r="L103" s="149"/>
      <c r="M103" s="149"/>
      <c r="N103" s="151"/>
      <c r="O103" s="149"/>
      <c r="P103" s="149"/>
      <c r="Q103" s="149"/>
      <c r="R103" s="149"/>
      <c r="S103" s="149"/>
      <c r="T103" s="149"/>
      <c r="U103" s="149"/>
      <c r="V103" s="149"/>
      <c r="W103" s="149"/>
      <c r="X103" s="149"/>
      <c r="Y103" s="149"/>
      <c r="Z103" s="149"/>
      <c r="AA103" s="149"/>
      <c r="AB103" s="149"/>
      <c r="AC103" s="149"/>
      <c r="AD103" s="149"/>
      <c r="AE103" s="149"/>
      <c r="AF103" s="149"/>
      <c r="AG103" s="149"/>
      <c r="AH103" s="149"/>
      <c r="AI103" s="149"/>
      <c r="AJ103" s="149"/>
      <c r="AK103" s="149"/>
      <c r="AL103" s="149"/>
      <c r="AM103" s="149"/>
      <c r="AN103" s="149"/>
      <c r="AO103" s="149"/>
      <c r="AP103" s="149"/>
      <c r="AQ103" s="149"/>
      <c r="AR103" s="149"/>
      <c r="AS103" s="149"/>
      <c r="AT103" s="149"/>
      <c r="AU103" s="149"/>
      <c r="AV103" s="149"/>
      <c r="AW103" s="149"/>
      <c r="AX103" s="149"/>
      <c r="AY103" s="149"/>
      <c r="AZ103" s="149"/>
      <c r="BA103" s="149"/>
      <c r="BB103" s="149"/>
      <c r="BC103" s="149"/>
      <c r="BD103" s="149"/>
      <c r="BE103" s="151"/>
      <c r="BF103" s="149"/>
      <c r="BG103" s="149"/>
      <c r="BH103" s="149"/>
      <c r="BI103" s="149"/>
      <c r="BJ103" s="149"/>
      <c r="BK103" s="149"/>
      <c r="BL103" s="149"/>
      <c r="BM103" s="149"/>
      <c r="BN103" s="149"/>
      <c r="BO103" s="149"/>
      <c r="BP103" s="149"/>
      <c r="BQ103" s="149"/>
      <c r="BR103" s="149"/>
      <c r="BS103" s="149"/>
      <c r="BT103" s="149"/>
      <c r="BU103" s="149"/>
      <c r="BV103" s="149"/>
      <c r="BW103" s="149"/>
      <c r="BX103" s="149"/>
      <c r="BY103" s="149"/>
      <c r="BZ103" s="149"/>
      <c r="CA103" s="149"/>
      <c r="CB103" s="149"/>
      <c r="CC103" s="149"/>
      <c r="CD103" s="149"/>
      <c r="CE103" s="149"/>
      <c r="CF103" s="149"/>
      <c r="CG103" s="149"/>
      <c r="CH103" s="149"/>
      <c r="CI103" s="149"/>
      <c r="CJ103" s="149"/>
      <c r="CK103" s="149"/>
      <c r="CL103" s="149"/>
      <c r="CM103" s="149"/>
      <c r="CN103" s="149"/>
      <c r="CO103" s="149"/>
      <c r="CP103" s="149"/>
      <c r="CQ103" s="149"/>
      <c r="CR103" s="149"/>
      <c r="CS103" s="149"/>
      <c r="CT103" s="149"/>
      <c r="CU103" s="149"/>
      <c r="CV103" s="149"/>
      <c r="CW103" s="149"/>
      <c r="CX103" s="149"/>
      <c r="CY103" s="149"/>
      <c r="CZ103" s="149"/>
      <c r="DA103" s="149"/>
      <c r="DB103" s="149"/>
      <c r="DC103" s="149"/>
      <c r="DD103" s="149"/>
      <c r="DE103" s="149"/>
      <c r="DF103" s="149"/>
      <c r="DG103" s="149"/>
      <c r="DH103" s="149"/>
      <c r="DI103" s="149"/>
      <c r="DJ103" s="149"/>
      <c r="DK103" s="149"/>
      <c r="DL103" s="149"/>
      <c r="DM103" s="149"/>
      <c r="DN103" s="149"/>
      <c r="DO103" s="149"/>
      <c r="DP103" s="149"/>
      <c r="DQ103" s="149"/>
      <c r="DR103" s="149"/>
      <c r="DS103" s="149"/>
      <c r="DT103" s="149"/>
      <c r="DU103" s="149"/>
      <c r="DV103" s="149"/>
      <c r="DW103" s="149"/>
      <c r="DX103" s="149"/>
      <c r="DY103" s="149"/>
      <c r="DZ103" s="149"/>
      <c r="EA103" s="149"/>
      <c r="EB103" s="149"/>
      <c r="EC103" s="149"/>
      <c r="ED103" s="149"/>
      <c r="EE103" s="149"/>
      <c r="EF103" s="149"/>
      <c r="EG103" s="149"/>
      <c r="EH103" s="149"/>
      <c r="EI103" s="149"/>
      <c r="EJ103" s="149"/>
      <c r="EK103" s="149"/>
      <c r="EL103" s="149"/>
      <c r="EM103" s="149"/>
      <c r="EN103" s="149"/>
      <c r="EO103" s="149"/>
      <c r="EP103" s="149"/>
      <c r="EQ103" s="149"/>
      <c r="ER103" s="149"/>
      <c r="ES103" s="149"/>
      <c r="ET103" s="149"/>
      <c r="EU103" s="149"/>
      <c r="EV103" s="149"/>
      <c r="EW103" s="149"/>
      <c r="EX103" s="149"/>
      <c r="EY103" s="149"/>
      <c r="EZ103" s="149"/>
      <c r="FA103" s="149"/>
      <c r="FB103" s="149"/>
      <c r="FC103" s="149"/>
      <c r="FD103" s="149"/>
      <c r="FE103" s="149"/>
      <c r="FF103" s="149"/>
      <c r="FG103" s="149"/>
      <c r="FH103" s="149"/>
      <c r="FI103" s="149"/>
      <c r="FJ103" s="149"/>
      <c r="FK103" s="149"/>
      <c r="FL103" s="149"/>
      <c r="FM103" s="149"/>
      <c r="FN103" s="149"/>
      <c r="FO103" s="149"/>
      <c r="FP103" s="149"/>
      <c r="FQ103" s="149"/>
      <c r="FR103" s="149"/>
      <c r="FS103" s="149"/>
      <c r="FT103" s="149"/>
      <c r="FU103" s="149"/>
      <c r="FV103" s="149"/>
      <c r="FW103" s="149"/>
      <c r="FX103" s="149"/>
      <c r="FY103" s="149"/>
      <c r="FZ103" s="149"/>
      <c r="GA103" s="149"/>
      <c r="GB103" s="149"/>
      <c r="GC103" s="149"/>
      <c r="GD103" s="149"/>
      <c r="GE103" s="149"/>
    </row>
    <row r="104" spans="1:187">
      <c r="A104" s="149"/>
      <c r="B104" s="149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51"/>
      <c r="O104" s="149"/>
      <c r="P104" s="149"/>
      <c r="Q104" s="149"/>
      <c r="R104" s="149"/>
      <c r="S104" s="149"/>
      <c r="T104" s="149"/>
      <c r="U104" s="149"/>
      <c r="V104" s="149"/>
      <c r="W104" s="149"/>
      <c r="X104" s="149"/>
      <c r="Y104" s="149"/>
      <c r="Z104" s="149"/>
      <c r="AA104" s="149"/>
      <c r="AB104" s="149"/>
      <c r="AC104" s="149"/>
      <c r="AD104" s="149"/>
      <c r="AE104" s="149"/>
      <c r="AF104" s="149"/>
      <c r="AG104" s="149"/>
      <c r="AH104" s="149"/>
      <c r="AI104" s="149"/>
      <c r="AJ104" s="149"/>
      <c r="AK104" s="149"/>
      <c r="AL104" s="149"/>
      <c r="AM104" s="149"/>
      <c r="AN104" s="149"/>
      <c r="AO104" s="149"/>
      <c r="AP104" s="149"/>
      <c r="AQ104" s="149"/>
      <c r="AR104" s="149"/>
      <c r="AS104" s="149"/>
      <c r="AT104" s="149"/>
      <c r="AU104" s="149"/>
      <c r="AV104" s="149"/>
      <c r="AW104" s="149"/>
      <c r="AX104" s="149"/>
      <c r="AY104" s="149"/>
      <c r="AZ104" s="149"/>
      <c r="BA104" s="149"/>
      <c r="BB104" s="149"/>
      <c r="BC104" s="149"/>
      <c r="BD104" s="149"/>
      <c r="BE104" s="151"/>
      <c r="BF104" s="149"/>
      <c r="BG104" s="149"/>
      <c r="BH104" s="149"/>
      <c r="BI104" s="149"/>
      <c r="BJ104" s="149"/>
      <c r="BK104" s="149"/>
      <c r="BL104" s="149"/>
      <c r="BM104" s="149"/>
      <c r="BN104" s="149"/>
      <c r="BO104" s="149"/>
      <c r="BP104" s="149"/>
      <c r="BQ104" s="149"/>
      <c r="BR104" s="149"/>
      <c r="BS104" s="149"/>
      <c r="BT104" s="149"/>
      <c r="BU104" s="149"/>
      <c r="BV104" s="149"/>
      <c r="BW104" s="149"/>
      <c r="BX104" s="149"/>
      <c r="BY104" s="149"/>
      <c r="BZ104" s="149"/>
      <c r="CA104" s="149"/>
      <c r="CB104" s="149"/>
      <c r="CC104" s="149"/>
      <c r="CD104" s="149"/>
      <c r="CE104" s="149"/>
      <c r="CF104" s="149"/>
      <c r="CG104" s="149"/>
      <c r="CH104" s="149"/>
      <c r="CI104" s="149"/>
      <c r="CJ104" s="149"/>
      <c r="CK104" s="149"/>
      <c r="CL104" s="149"/>
      <c r="CM104" s="149"/>
      <c r="CN104" s="149"/>
      <c r="CO104" s="149"/>
      <c r="CP104" s="149"/>
      <c r="CQ104" s="149"/>
      <c r="CR104" s="149"/>
      <c r="CS104" s="149"/>
      <c r="CT104" s="149"/>
      <c r="CU104" s="149"/>
      <c r="CV104" s="149"/>
      <c r="CW104" s="149"/>
      <c r="CX104" s="149"/>
      <c r="CY104" s="149"/>
      <c r="CZ104" s="149"/>
      <c r="DA104" s="149"/>
      <c r="DB104" s="149"/>
      <c r="DC104" s="149"/>
      <c r="DD104" s="149"/>
      <c r="DE104" s="149"/>
      <c r="DF104" s="149"/>
      <c r="DG104" s="149"/>
      <c r="DH104" s="149"/>
      <c r="DI104" s="149"/>
      <c r="DJ104" s="149"/>
      <c r="DK104" s="149"/>
      <c r="DL104" s="149"/>
      <c r="DM104" s="149"/>
      <c r="DN104" s="149"/>
      <c r="DO104" s="149"/>
      <c r="DP104" s="149"/>
      <c r="DQ104" s="149"/>
      <c r="DR104" s="149"/>
      <c r="DS104" s="149"/>
      <c r="DT104" s="149"/>
      <c r="DU104" s="149"/>
      <c r="DV104" s="149"/>
      <c r="DW104" s="149"/>
      <c r="DX104" s="149"/>
      <c r="DY104" s="149"/>
      <c r="DZ104" s="149"/>
      <c r="EA104" s="149"/>
      <c r="EB104" s="149"/>
      <c r="EC104" s="149"/>
      <c r="ED104" s="149"/>
      <c r="EE104" s="149"/>
      <c r="EF104" s="149"/>
      <c r="EG104" s="149"/>
      <c r="EH104" s="149"/>
      <c r="EI104" s="149"/>
      <c r="EJ104" s="149"/>
      <c r="EK104" s="149"/>
      <c r="EL104" s="149"/>
      <c r="EM104" s="149"/>
      <c r="EN104" s="149"/>
      <c r="EO104" s="149"/>
      <c r="EP104" s="149"/>
      <c r="EQ104" s="149"/>
      <c r="ER104" s="149"/>
      <c r="ES104" s="149"/>
      <c r="ET104" s="149"/>
      <c r="EU104" s="149"/>
      <c r="EV104" s="149"/>
      <c r="EW104" s="149"/>
      <c r="EX104" s="149"/>
      <c r="EY104" s="149"/>
      <c r="EZ104" s="149"/>
      <c r="FA104" s="149"/>
      <c r="FB104" s="149"/>
      <c r="FC104" s="149"/>
      <c r="FD104" s="149"/>
      <c r="FE104" s="149"/>
      <c r="FF104" s="149"/>
      <c r="FG104" s="149"/>
      <c r="FH104" s="149"/>
      <c r="FI104" s="149"/>
      <c r="FJ104" s="149"/>
      <c r="FK104" s="149"/>
      <c r="FL104" s="149"/>
      <c r="FM104" s="149"/>
      <c r="FN104" s="149"/>
      <c r="FO104" s="149"/>
      <c r="FP104" s="149"/>
      <c r="FQ104" s="149"/>
      <c r="FR104" s="149"/>
      <c r="FS104" s="149"/>
      <c r="FT104" s="149"/>
      <c r="FU104" s="149"/>
      <c r="FV104" s="149"/>
      <c r="FW104" s="149"/>
      <c r="FX104" s="149"/>
      <c r="FY104" s="149"/>
      <c r="FZ104" s="149"/>
      <c r="GA104" s="149"/>
      <c r="GB104" s="149"/>
      <c r="GC104" s="149"/>
      <c r="GD104" s="149"/>
      <c r="GE104" s="149"/>
    </row>
    <row r="105" spans="1:187">
      <c r="A105" s="149"/>
      <c r="B105" s="149"/>
      <c r="C105" s="149"/>
      <c r="D105" s="149"/>
      <c r="E105" s="149"/>
      <c r="F105" s="149"/>
      <c r="G105" s="149"/>
      <c r="H105" s="149"/>
      <c r="I105" s="149"/>
      <c r="J105" s="149"/>
      <c r="K105" s="149"/>
      <c r="L105" s="149"/>
      <c r="M105" s="149"/>
      <c r="N105" s="151"/>
      <c r="O105" s="149"/>
      <c r="P105" s="149"/>
      <c r="Q105" s="149"/>
      <c r="R105" s="149"/>
      <c r="S105" s="149"/>
      <c r="T105" s="149"/>
      <c r="U105" s="149"/>
      <c r="V105" s="149"/>
      <c r="W105" s="149"/>
      <c r="X105" s="149"/>
      <c r="Y105" s="149"/>
      <c r="Z105" s="149"/>
      <c r="AA105" s="149"/>
      <c r="AB105" s="149"/>
      <c r="AC105" s="149"/>
      <c r="AD105" s="149"/>
      <c r="AE105" s="149"/>
      <c r="AF105" s="149"/>
      <c r="AG105" s="149"/>
      <c r="AH105" s="149"/>
      <c r="AI105" s="149"/>
      <c r="AJ105" s="149"/>
      <c r="AK105" s="149"/>
      <c r="AL105" s="149"/>
      <c r="AM105" s="149"/>
      <c r="AN105" s="149"/>
      <c r="AO105" s="149"/>
      <c r="AP105" s="149"/>
      <c r="AQ105" s="149"/>
      <c r="AR105" s="149"/>
      <c r="AS105" s="149"/>
      <c r="AT105" s="149"/>
      <c r="AU105" s="149"/>
      <c r="AV105" s="149"/>
      <c r="AW105" s="149"/>
      <c r="AX105" s="149"/>
      <c r="AY105" s="149"/>
      <c r="AZ105" s="149"/>
      <c r="BA105" s="149"/>
      <c r="BB105" s="149"/>
      <c r="BC105" s="149"/>
      <c r="BD105" s="149"/>
      <c r="BE105" s="151"/>
      <c r="BF105" s="149"/>
      <c r="BG105" s="149"/>
      <c r="BH105" s="149"/>
      <c r="BI105" s="149"/>
      <c r="BJ105" s="149"/>
      <c r="BK105" s="149"/>
      <c r="BL105" s="149"/>
      <c r="BM105" s="149"/>
      <c r="BN105" s="149"/>
      <c r="BO105" s="149"/>
      <c r="BP105" s="149"/>
      <c r="BQ105" s="149"/>
      <c r="BR105" s="149"/>
      <c r="BS105" s="149"/>
      <c r="BT105" s="149"/>
      <c r="BU105" s="149"/>
      <c r="BV105" s="149"/>
      <c r="BW105" s="149"/>
      <c r="BX105" s="149"/>
      <c r="BY105" s="149"/>
      <c r="BZ105" s="149"/>
      <c r="CA105" s="149"/>
      <c r="CB105" s="149"/>
      <c r="CC105" s="149"/>
      <c r="CD105" s="149"/>
      <c r="CE105" s="149"/>
      <c r="CF105" s="149"/>
      <c r="CG105" s="149"/>
      <c r="CH105" s="149"/>
      <c r="CI105" s="149"/>
      <c r="CJ105" s="149"/>
      <c r="CK105" s="149"/>
      <c r="CL105" s="149"/>
      <c r="CM105" s="149"/>
      <c r="CN105" s="149"/>
      <c r="CO105" s="149"/>
      <c r="CP105" s="149"/>
      <c r="CQ105" s="149"/>
      <c r="CR105" s="149"/>
      <c r="CS105" s="149"/>
      <c r="CT105" s="149"/>
      <c r="CU105" s="149"/>
      <c r="CV105" s="149"/>
      <c r="CW105" s="149"/>
      <c r="CX105" s="149"/>
      <c r="CY105" s="149"/>
      <c r="CZ105" s="149"/>
      <c r="DA105" s="149"/>
      <c r="DB105" s="149"/>
      <c r="DC105" s="149"/>
      <c r="DD105" s="149"/>
      <c r="DE105" s="149"/>
      <c r="DF105" s="149"/>
      <c r="DG105" s="149"/>
      <c r="DH105" s="149"/>
      <c r="DI105" s="149"/>
      <c r="DJ105" s="149"/>
      <c r="DK105" s="149"/>
      <c r="DL105" s="149"/>
      <c r="DM105" s="149"/>
      <c r="DN105" s="149"/>
      <c r="DO105" s="149"/>
      <c r="DP105" s="149"/>
      <c r="DQ105" s="149"/>
      <c r="DR105" s="149"/>
      <c r="DS105" s="149"/>
      <c r="DT105" s="149"/>
      <c r="DU105" s="149"/>
      <c r="DV105" s="149"/>
      <c r="DW105" s="149"/>
      <c r="DX105" s="149"/>
      <c r="DY105" s="149"/>
      <c r="DZ105" s="149"/>
      <c r="EA105" s="149"/>
      <c r="EB105" s="149"/>
      <c r="EC105" s="149"/>
      <c r="ED105" s="149"/>
      <c r="EE105" s="149"/>
      <c r="EF105" s="149"/>
      <c r="EG105" s="149"/>
      <c r="EH105" s="149"/>
      <c r="EI105" s="149"/>
      <c r="EJ105" s="149"/>
      <c r="EK105" s="149"/>
      <c r="EL105" s="149"/>
      <c r="EM105" s="149"/>
      <c r="EN105" s="149"/>
      <c r="EO105" s="149"/>
      <c r="EP105" s="149"/>
      <c r="EQ105" s="149"/>
      <c r="ER105" s="149"/>
      <c r="ES105" s="149"/>
      <c r="ET105" s="149"/>
      <c r="EU105" s="149"/>
      <c r="EV105" s="149"/>
      <c r="EW105" s="149"/>
      <c r="EX105" s="149"/>
      <c r="EY105" s="149"/>
      <c r="EZ105" s="149"/>
      <c r="FA105" s="149"/>
      <c r="FB105" s="149"/>
      <c r="FC105" s="149"/>
      <c r="FD105" s="149"/>
      <c r="FE105" s="149"/>
      <c r="FF105" s="149"/>
      <c r="FG105" s="149"/>
      <c r="FH105" s="149"/>
      <c r="FI105" s="149"/>
      <c r="FJ105" s="149"/>
      <c r="FK105" s="149"/>
      <c r="FL105" s="149"/>
      <c r="FM105" s="149"/>
      <c r="FN105" s="149"/>
      <c r="FO105" s="149"/>
      <c r="FP105" s="149"/>
      <c r="FQ105" s="149"/>
      <c r="FR105" s="149"/>
      <c r="FS105" s="149"/>
      <c r="FT105" s="149"/>
      <c r="FU105" s="149"/>
      <c r="FV105" s="149"/>
      <c r="FW105" s="149"/>
      <c r="FX105" s="149"/>
      <c r="FY105" s="149"/>
      <c r="FZ105" s="149"/>
      <c r="GA105" s="149"/>
      <c r="GB105" s="149"/>
      <c r="GC105" s="149"/>
      <c r="GD105" s="149"/>
      <c r="GE105" s="149"/>
    </row>
    <row r="106" spans="1:187">
      <c r="A106" s="149"/>
      <c r="B106" s="149"/>
      <c r="C106" s="149"/>
      <c r="D106" s="149"/>
      <c r="E106" s="149"/>
      <c r="F106" s="149"/>
      <c r="G106" s="149"/>
      <c r="H106" s="149"/>
      <c r="I106" s="149"/>
      <c r="J106" s="149"/>
      <c r="K106" s="149"/>
      <c r="L106" s="149"/>
      <c r="M106" s="149"/>
      <c r="N106" s="151"/>
      <c r="O106" s="149"/>
      <c r="P106" s="149"/>
      <c r="Q106" s="149"/>
      <c r="R106" s="149"/>
      <c r="S106" s="149"/>
      <c r="T106" s="149"/>
      <c r="U106" s="149"/>
      <c r="V106" s="149"/>
      <c r="W106" s="149"/>
      <c r="X106" s="149"/>
      <c r="Y106" s="149"/>
      <c r="Z106" s="149"/>
      <c r="AA106" s="149"/>
      <c r="AB106" s="149"/>
      <c r="AC106" s="149"/>
      <c r="AD106" s="149"/>
      <c r="AE106" s="149"/>
      <c r="AF106" s="149"/>
      <c r="AG106" s="149"/>
      <c r="AH106" s="149"/>
      <c r="AI106" s="149"/>
      <c r="AJ106" s="149"/>
      <c r="AK106" s="149"/>
      <c r="AL106" s="149"/>
      <c r="AM106" s="149"/>
      <c r="AN106" s="149"/>
      <c r="AO106" s="149"/>
      <c r="AP106" s="149"/>
      <c r="AQ106" s="149"/>
      <c r="AR106" s="149"/>
      <c r="AS106" s="149"/>
      <c r="AT106" s="149"/>
      <c r="AU106" s="149"/>
      <c r="AV106" s="149"/>
      <c r="AW106" s="149"/>
      <c r="AX106" s="149"/>
      <c r="AY106" s="149"/>
      <c r="AZ106" s="149"/>
      <c r="BA106" s="149"/>
      <c r="BB106" s="149"/>
      <c r="BC106" s="149"/>
      <c r="BD106" s="149"/>
      <c r="BE106" s="151"/>
      <c r="BF106" s="149"/>
      <c r="BG106" s="149"/>
      <c r="BH106" s="149"/>
      <c r="BI106" s="149"/>
      <c r="BJ106" s="149"/>
      <c r="BK106" s="149"/>
      <c r="BL106" s="149"/>
      <c r="BM106" s="149"/>
      <c r="BN106" s="149"/>
      <c r="BO106" s="149"/>
      <c r="BP106" s="149"/>
      <c r="BQ106" s="149"/>
      <c r="BR106" s="149"/>
      <c r="BS106" s="149"/>
      <c r="BT106" s="149"/>
      <c r="BU106" s="149"/>
      <c r="BV106" s="149"/>
      <c r="BW106" s="149"/>
      <c r="BX106" s="149"/>
      <c r="BY106" s="149"/>
      <c r="BZ106" s="149"/>
      <c r="CA106" s="149"/>
      <c r="CB106" s="149"/>
      <c r="CC106" s="149"/>
      <c r="CD106" s="149"/>
      <c r="CE106" s="149"/>
      <c r="CF106" s="149"/>
      <c r="CG106" s="149"/>
      <c r="CH106" s="149"/>
      <c r="CI106" s="149"/>
      <c r="CJ106" s="149"/>
      <c r="CK106" s="149"/>
      <c r="CL106" s="149"/>
      <c r="CM106" s="149"/>
      <c r="CN106" s="149"/>
      <c r="CO106" s="149"/>
      <c r="CP106" s="149"/>
      <c r="CQ106" s="149"/>
      <c r="CR106" s="149"/>
      <c r="CS106" s="149"/>
      <c r="CT106" s="149"/>
      <c r="CU106" s="149"/>
      <c r="CV106" s="149"/>
      <c r="CW106" s="149"/>
      <c r="CX106" s="149"/>
      <c r="CY106" s="149"/>
      <c r="CZ106" s="149"/>
      <c r="DA106" s="149"/>
      <c r="DB106" s="149"/>
      <c r="DC106" s="149"/>
      <c r="DD106" s="149"/>
      <c r="DE106" s="149"/>
      <c r="DF106" s="149"/>
      <c r="DG106" s="149"/>
      <c r="DH106" s="149"/>
      <c r="DI106" s="149"/>
      <c r="DJ106" s="149"/>
      <c r="DK106" s="149"/>
      <c r="DL106" s="149"/>
      <c r="DM106" s="149"/>
      <c r="DN106" s="149"/>
      <c r="DO106" s="149"/>
      <c r="DP106" s="149"/>
      <c r="DQ106" s="149"/>
      <c r="DR106" s="149"/>
      <c r="DS106" s="149"/>
      <c r="DT106" s="149"/>
      <c r="DU106" s="149"/>
      <c r="DV106" s="149"/>
      <c r="DW106" s="149"/>
      <c r="DX106" s="149"/>
      <c r="DY106" s="149"/>
      <c r="DZ106" s="149"/>
      <c r="EA106" s="149"/>
      <c r="EB106" s="149"/>
      <c r="EC106" s="149"/>
      <c r="ED106" s="149"/>
      <c r="EE106" s="149"/>
      <c r="EF106" s="149"/>
      <c r="EG106" s="149"/>
      <c r="EH106" s="149"/>
      <c r="EI106" s="149"/>
      <c r="EJ106" s="149"/>
      <c r="EK106" s="149"/>
      <c r="EL106" s="149"/>
      <c r="EM106" s="149"/>
      <c r="EN106" s="149"/>
      <c r="EO106" s="149"/>
      <c r="EP106" s="149"/>
      <c r="EQ106" s="149"/>
      <c r="ER106" s="149"/>
      <c r="ES106" s="149"/>
      <c r="ET106" s="149"/>
      <c r="EU106" s="149"/>
      <c r="EV106" s="149"/>
      <c r="EW106" s="149"/>
      <c r="EX106" s="149"/>
      <c r="EY106" s="149"/>
      <c r="EZ106" s="149"/>
      <c r="FA106" s="149"/>
      <c r="FB106" s="149"/>
      <c r="FC106" s="149"/>
      <c r="FD106" s="149"/>
      <c r="FE106" s="149"/>
      <c r="FF106" s="149"/>
      <c r="FG106" s="149"/>
      <c r="FH106" s="149"/>
      <c r="FI106" s="149"/>
      <c r="FJ106" s="149"/>
      <c r="FK106" s="149"/>
      <c r="FL106" s="149"/>
      <c r="FM106" s="149"/>
      <c r="FN106" s="149"/>
      <c r="FO106" s="149"/>
      <c r="FP106" s="149"/>
      <c r="FQ106" s="149"/>
      <c r="FR106" s="149"/>
      <c r="FS106" s="149"/>
      <c r="FT106" s="149"/>
      <c r="FU106" s="149"/>
      <c r="FV106" s="149"/>
      <c r="FW106" s="149"/>
      <c r="FX106" s="149"/>
      <c r="FY106" s="149"/>
      <c r="FZ106" s="149"/>
      <c r="GA106" s="149"/>
      <c r="GB106" s="149"/>
      <c r="GC106" s="149"/>
      <c r="GD106" s="149"/>
      <c r="GE106" s="149"/>
    </row>
    <row r="107" spans="1:187">
      <c r="A107" s="149"/>
      <c r="B107" s="149"/>
      <c r="C107" s="149"/>
      <c r="D107" s="149"/>
      <c r="E107" s="149"/>
      <c r="F107" s="149"/>
      <c r="G107" s="149"/>
      <c r="H107" s="149"/>
      <c r="I107" s="149"/>
      <c r="J107" s="149"/>
      <c r="K107" s="149"/>
      <c r="L107" s="149"/>
      <c r="M107" s="149"/>
      <c r="N107" s="151"/>
      <c r="O107" s="149"/>
      <c r="P107" s="149"/>
      <c r="Q107" s="149"/>
      <c r="R107" s="149"/>
      <c r="S107" s="149"/>
      <c r="T107" s="149"/>
      <c r="U107" s="149"/>
      <c r="V107" s="149"/>
      <c r="W107" s="149"/>
      <c r="X107" s="149"/>
      <c r="Y107" s="149"/>
      <c r="Z107" s="149"/>
      <c r="AA107" s="149"/>
      <c r="AB107" s="149"/>
      <c r="AC107" s="149"/>
      <c r="AD107" s="149"/>
      <c r="AE107" s="149"/>
      <c r="AF107" s="149"/>
      <c r="AG107" s="149"/>
      <c r="AH107" s="149"/>
      <c r="AI107" s="149"/>
      <c r="AJ107" s="149"/>
      <c r="AK107" s="149"/>
      <c r="AL107" s="149"/>
      <c r="AM107" s="149"/>
      <c r="AN107" s="149"/>
      <c r="AO107" s="149"/>
      <c r="AP107" s="149"/>
      <c r="AQ107" s="149"/>
      <c r="AR107" s="149"/>
      <c r="AS107" s="149"/>
      <c r="AT107" s="149"/>
      <c r="AU107" s="149"/>
      <c r="AV107" s="149"/>
      <c r="AW107" s="149"/>
      <c r="AX107" s="149"/>
      <c r="AY107" s="149"/>
      <c r="AZ107" s="149"/>
      <c r="BA107" s="149"/>
      <c r="BB107" s="149"/>
      <c r="BC107" s="149"/>
      <c r="BD107" s="149"/>
      <c r="BE107" s="151"/>
      <c r="BF107" s="149"/>
      <c r="BG107" s="149"/>
      <c r="BH107" s="149"/>
      <c r="BI107" s="149"/>
      <c r="BJ107" s="149"/>
      <c r="BK107" s="149"/>
      <c r="BL107" s="149"/>
      <c r="BM107" s="149"/>
      <c r="BN107" s="149"/>
      <c r="BO107" s="149"/>
      <c r="BP107" s="149"/>
      <c r="BQ107" s="149"/>
      <c r="BR107" s="149"/>
      <c r="BS107" s="149"/>
      <c r="BT107" s="149"/>
      <c r="BU107" s="149"/>
      <c r="BV107" s="149"/>
      <c r="BW107" s="149"/>
      <c r="BX107" s="149"/>
      <c r="BY107" s="149"/>
      <c r="BZ107" s="149"/>
      <c r="CA107" s="149"/>
      <c r="CB107" s="149"/>
      <c r="CC107" s="149"/>
      <c r="CD107" s="149"/>
      <c r="CE107" s="149"/>
      <c r="CF107" s="149"/>
      <c r="CG107" s="149"/>
      <c r="CH107" s="149"/>
      <c r="CI107" s="149"/>
      <c r="CJ107" s="149"/>
      <c r="CK107" s="149"/>
      <c r="CL107" s="149"/>
      <c r="CM107" s="149"/>
      <c r="CN107" s="149"/>
      <c r="CO107" s="149"/>
      <c r="CP107" s="149"/>
      <c r="CQ107" s="149"/>
      <c r="CR107" s="149"/>
      <c r="CS107" s="149"/>
      <c r="CT107" s="149"/>
      <c r="CU107" s="149"/>
      <c r="CV107" s="149"/>
      <c r="CW107" s="149"/>
      <c r="CX107" s="149"/>
      <c r="CY107" s="149"/>
      <c r="CZ107" s="149"/>
      <c r="DA107" s="149"/>
      <c r="DB107" s="149"/>
      <c r="DC107" s="149"/>
      <c r="DD107" s="149"/>
      <c r="DE107" s="149"/>
      <c r="DF107" s="149"/>
      <c r="DG107" s="149"/>
      <c r="DH107" s="149"/>
      <c r="DI107" s="149"/>
      <c r="DJ107" s="149"/>
      <c r="DK107" s="149"/>
      <c r="DL107" s="149"/>
      <c r="DM107" s="149"/>
      <c r="DN107" s="149"/>
      <c r="DO107" s="149"/>
      <c r="DP107" s="149"/>
      <c r="DQ107" s="149"/>
      <c r="DR107" s="149"/>
      <c r="DS107" s="149"/>
      <c r="DT107" s="149"/>
      <c r="DU107" s="149"/>
      <c r="DV107" s="149"/>
      <c r="DW107" s="149"/>
      <c r="DX107" s="149"/>
      <c r="DY107" s="149"/>
      <c r="DZ107" s="149"/>
      <c r="EA107" s="149"/>
      <c r="EB107" s="149"/>
      <c r="EC107" s="149"/>
      <c r="ED107" s="149"/>
      <c r="EE107" s="149"/>
      <c r="EF107" s="149"/>
      <c r="EG107" s="149"/>
      <c r="EH107" s="149"/>
      <c r="EI107" s="149"/>
      <c r="EJ107" s="149"/>
      <c r="EK107" s="149"/>
      <c r="EL107" s="149"/>
      <c r="EM107" s="149"/>
      <c r="EN107" s="149"/>
      <c r="EO107" s="149"/>
      <c r="EP107" s="149"/>
      <c r="EQ107" s="149"/>
      <c r="ER107" s="149"/>
      <c r="ES107" s="149"/>
      <c r="ET107" s="149"/>
      <c r="EU107" s="149"/>
      <c r="EV107" s="149"/>
      <c r="EW107" s="149"/>
      <c r="EX107" s="149"/>
      <c r="EY107" s="149"/>
      <c r="EZ107" s="149"/>
      <c r="FA107" s="149"/>
      <c r="FB107" s="149"/>
      <c r="FC107" s="149"/>
      <c r="FD107" s="149"/>
      <c r="FE107" s="149"/>
      <c r="FF107" s="149"/>
      <c r="FG107" s="149"/>
      <c r="FH107" s="149"/>
      <c r="FI107" s="149"/>
      <c r="FJ107" s="149"/>
      <c r="FK107" s="149"/>
      <c r="FL107" s="149"/>
      <c r="FM107" s="149"/>
      <c r="FN107" s="149"/>
      <c r="FO107" s="149"/>
      <c r="FP107" s="149"/>
      <c r="FQ107" s="149"/>
      <c r="FR107" s="149"/>
      <c r="FS107" s="149"/>
      <c r="FT107" s="149"/>
      <c r="FU107" s="149"/>
      <c r="FV107" s="149"/>
      <c r="FW107" s="149"/>
      <c r="FX107" s="149"/>
      <c r="FY107" s="149"/>
      <c r="FZ107" s="149"/>
      <c r="GA107" s="149"/>
      <c r="GB107" s="149"/>
      <c r="GC107" s="149"/>
      <c r="GD107" s="149"/>
      <c r="GE107" s="149"/>
    </row>
    <row r="108" spans="1:187">
      <c r="A108" s="149"/>
      <c r="B108" s="149"/>
      <c r="C108" s="149"/>
      <c r="D108" s="149"/>
      <c r="E108" s="149"/>
      <c r="F108" s="149"/>
      <c r="G108" s="149"/>
      <c r="H108" s="149"/>
      <c r="I108" s="149"/>
      <c r="J108" s="149"/>
      <c r="K108" s="149"/>
      <c r="L108" s="149"/>
      <c r="M108" s="149"/>
      <c r="N108" s="151"/>
      <c r="O108" s="149"/>
      <c r="P108" s="149"/>
      <c r="Q108" s="149"/>
      <c r="R108" s="149"/>
      <c r="S108" s="149"/>
      <c r="T108" s="149"/>
      <c r="U108" s="149"/>
      <c r="V108" s="149"/>
      <c r="W108" s="149"/>
      <c r="X108" s="149"/>
      <c r="Y108" s="149"/>
      <c r="Z108" s="149"/>
      <c r="AA108" s="149"/>
      <c r="AB108" s="149"/>
      <c r="AC108" s="149"/>
      <c r="AD108" s="149"/>
      <c r="AE108" s="149"/>
      <c r="AF108" s="149"/>
      <c r="AG108" s="149"/>
      <c r="AH108" s="149"/>
      <c r="AI108" s="149"/>
      <c r="AJ108" s="149"/>
      <c r="AK108" s="149"/>
      <c r="AL108" s="149"/>
      <c r="AM108" s="149"/>
      <c r="AN108" s="149"/>
      <c r="AO108" s="149"/>
      <c r="AP108" s="149"/>
      <c r="AQ108" s="149"/>
      <c r="AR108" s="149"/>
      <c r="AS108" s="149"/>
      <c r="AT108" s="149"/>
      <c r="AU108" s="149"/>
      <c r="AV108" s="149"/>
      <c r="AW108" s="149"/>
      <c r="AX108" s="149"/>
      <c r="AY108" s="149"/>
      <c r="AZ108" s="149"/>
      <c r="BA108" s="149"/>
      <c r="BB108" s="149"/>
      <c r="BC108" s="149"/>
      <c r="BD108" s="149"/>
      <c r="BE108" s="151"/>
      <c r="BF108" s="149"/>
      <c r="BG108" s="149"/>
      <c r="BH108" s="149"/>
      <c r="BI108" s="149"/>
      <c r="BJ108" s="149"/>
      <c r="BK108" s="149"/>
      <c r="BL108" s="149"/>
      <c r="BM108" s="149"/>
      <c r="BN108" s="149"/>
      <c r="BO108" s="149"/>
      <c r="BP108" s="149"/>
      <c r="BQ108" s="149"/>
      <c r="BR108" s="149"/>
      <c r="BS108" s="149"/>
      <c r="BT108" s="149"/>
      <c r="BU108" s="149"/>
      <c r="BV108" s="149"/>
      <c r="BW108" s="149"/>
      <c r="BX108" s="149"/>
      <c r="BY108" s="149"/>
      <c r="BZ108" s="149"/>
      <c r="CA108" s="149"/>
      <c r="CB108" s="149"/>
      <c r="CC108" s="149"/>
      <c r="CD108" s="149"/>
      <c r="CE108" s="149"/>
      <c r="CF108" s="149"/>
      <c r="CG108" s="149"/>
      <c r="CH108" s="149"/>
      <c r="CI108" s="149"/>
      <c r="CJ108" s="149"/>
      <c r="CK108" s="149"/>
      <c r="CL108" s="149"/>
      <c r="CM108" s="149"/>
      <c r="CN108" s="149"/>
      <c r="CO108" s="149"/>
      <c r="CP108" s="149"/>
      <c r="CQ108" s="149"/>
      <c r="CR108" s="149"/>
      <c r="CS108" s="149"/>
      <c r="CT108" s="149"/>
      <c r="CU108" s="149"/>
      <c r="CV108" s="149"/>
      <c r="CW108" s="149"/>
      <c r="CX108" s="149"/>
      <c r="CY108" s="149"/>
      <c r="CZ108" s="149"/>
      <c r="DA108" s="149"/>
      <c r="DB108" s="149"/>
      <c r="DC108" s="149"/>
      <c r="DD108" s="149"/>
      <c r="DE108" s="149"/>
      <c r="DF108" s="149"/>
      <c r="DG108" s="149"/>
      <c r="DH108" s="149"/>
      <c r="DI108" s="149"/>
      <c r="DJ108" s="149"/>
      <c r="DK108" s="149"/>
      <c r="DL108" s="149"/>
      <c r="DM108" s="149"/>
      <c r="DN108" s="149"/>
      <c r="DO108" s="149"/>
      <c r="DP108" s="149"/>
      <c r="DQ108" s="149"/>
      <c r="DR108" s="149"/>
      <c r="DS108" s="149"/>
      <c r="DT108" s="149"/>
      <c r="DU108" s="149"/>
      <c r="DV108" s="149"/>
      <c r="DW108" s="149"/>
      <c r="DX108" s="149"/>
      <c r="DY108" s="149"/>
      <c r="DZ108" s="149"/>
      <c r="EA108" s="149"/>
      <c r="EB108" s="149"/>
      <c r="EC108" s="149"/>
      <c r="ED108" s="149"/>
      <c r="EE108" s="149"/>
      <c r="EF108" s="149"/>
      <c r="EG108" s="149"/>
      <c r="EH108" s="149"/>
      <c r="EI108" s="149"/>
      <c r="EJ108" s="149"/>
      <c r="EK108" s="149"/>
      <c r="EL108" s="149"/>
      <c r="EM108" s="149"/>
      <c r="EN108" s="149"/>
      <c r="EO108" s="149"/>
      <c r="EP108" s="149"/>
      <c r="EQ108" s="149"/>
      <c r="ER108" s="149"/>
      <c r="ES108" s="149"/>
      <c r="ET108" s="149"/>
      <c r="EU108" s="149"/>
      <c r="EV108" s="149"/>
      <c r="EW108" s="149"/>
      <c r="EX108" s="149"/>
      <c r="EY108" s="149"/>
      <c r="EZ108" s="149"/>
      <c r="FA108" s="149"/>
      <c r="FB108" s="149"/>
      <c r="FC108" s="149"/>
      <c r="FD108" s="149"/>
      <c r="FE108" s="149"/>
      <c r="FF108" s="149"/>
      <c r="FG108" s="149"/>
      <c r="FH108" s="149"/>
      <c r="FI108" s="149"/>
      <c r="FJ108" s="149"/>
      <c r="FK108" s="149"/>
      <c r="FL108" s="149"/>
      <c r="FM108" s="149"/>
      <c r="FN108" s="149"/>
      <c r="FO108" s="149"/>
      <c r="FP108" s="149"/>
      <c r="FQ108" s="149"/>
      <c r="FR108" s="149"/>
      <c r="FS108" s="149"/>
      <c r="FT108" s="149"/>
      <c r="FU108" s="149"/>
      <c r="FV108" s="149"/>
      <c r="FW108" s="149"/>
      <c r="FX108" s="149"/>
      <c r="FY108" s="149"/>
      <c r="FZ108" s="149"/>
      <c r="GA108" s="149"/>
      <c r="GB108" s="149"/>
      <c r="GC108" s="149"/>
      <c r="GD108" s="149"/>
      <c r="GE108" s="149"/>
    </row>
    <row r="109" spans="1:187">
      <c r="A109" s="149"/>
      <c r="B109" s="149"/>
      <c r="C109" s="149"/>
      <c r="D109" s="149"/>
      <c r="E109" s="149"/>
      <c r="F109" s="149"/>
      <c r="G109" s="149"/>
      <c r="H109" s="149"/>
      <c r="I109" s="149"/>
      <c r="J109" s="149"/>
      <c r="K109" s="149"/>
      <c r="L109" s="149"/>
      <c r="M109" s="149"/>
      <c r="N109" s="151"/>
      <c r="O109" s="149"/>
      <c r="P109" s="149"/>
      <c r="Q109" s="149"/>
      <c r="R109" s="149"/>
      <c r="S109" s="149"/>
      <c r="T109" s="149"/>
      <c r="U109" s="149"/>
      <c r="V109" s="149"/>
      <c r="W109" s="149"/>
      <c r="X109" s="149"/>
      <c r="Y109" s="149"/>
      <c r="Z109" s="149"/>
      <c r="AA109" s="149"/>
      <c r="AB109" s="149"/>
      <c r="AC109" s="149"/>
      <c r="AD109" s="149"/>
      <c r="AE109" s="149"/>
      <c r="AF109" s="149"/>
      <c r="AG109" s="149"/>
      <c r="AH109" s="149"/>
      <c r="AI109" s="149"/>
      <c r="AJ109" s="149"/>
      <c r="AK109" s="149"/>
      <c r="AL109" s="149"/>
      <c r="AM109" s="149"/>
      <c r="AN109" s="149"/>
      <c r="AO109" s="149"/>
      <c r="AP109" s="149"/>
      <c r="AQ109" s="149"/>
      <c r="AR109" s="149"/>
      <c r="AS109" s="149"/>
      <c r="AT109" s="149"/>
      <c r="AU109" s="149"/>
      <c r="AV109" s="149"/>
      <c r="AW109" s="149"/>
      <c r="AX109" s="149"/>
      <c r="AY109" s="149"/>
      <c r="AZ109" s="149"/>
      <c r="BA109" s="149"/>
      <c r="BB109" s="149"/>
      <c r="BC109" s="149"/>
      <c r="BD109" s="149"/>
      <c r="BE109" s="151"/>
      <c r="BF109" s="149"/>
      <c r="BG109" s="149"/>
      <c r="BH109" s="149"/>
      <c r="BI109" s="149"/>
      <c r="BJ109" s="149"/>
      <c r="BK109" s="149"/>
      <c r="BL109" s="149"/>
      <c r="BM109" s="149"/>
      <c r="BN109" s="149"/>
      <c r="BO109" s="149"/>
      <c r="BP109" s="149"/>
      <c r="BQ109" s="149"/>
      <c r="BR109" s="149"/>
      <c r="BS109" s="149"/>
      <c r="BT109" s="149"/>
      <c r="BU109" s="149"/>
      <c r="BV109" s="149"/>
      <c r="BW109" s="149"/>
      <c r="BX109" s="149"/>
      <c r="BY109" s="149"/>
      <c r="BZ109" s="149"/>
      <c r="CA109" s="149"/>
      <c r="CB109" s="149"/>
      <c r="CC109" s="149"/>
      <c r="CD109" s="149"/>
      <c r="CE109" s="149"/>
      <c r="CF109" s="149"/>
      <c r="CG109" s="149"/>
      <c r="CH109" s="149"/>
      <c r="CI109" s="149"/>
      <c r="CJ109" s="149"/>
      <c r="CK109" s="149"/>
      <c r="CL109" s="149"/>
      <c r="CM109" s="149"/>
      <c r="CN109" s="149"/>
      <c r="CO109" s="149"/>
      <c r="CP109" s="149"/>
      <c r="CQ109" s="149"/>
      <c r="CR109" s="149"/>
      <c r="CS109" s="149"/>
      <c r="CT109" s="149"/>
      <c r="CU109" s="149"/>
      <c r="CV109" s="149"/>
      <c r="CW109" s="149"/>
      <c r="CX109" s="149"/>
      <c r="CY109" s="149"/>
      <c r="CZ109" s="149"/>
      <c r="DA109" s="149"/>
      <c r="DB109" s="149"/>
      <c r="DC109" s="149"/>
      <c r="DD109" s="149"/>
      <c r="DE109" s="149"/>
      <c r="DF109" s="149"/>
      <c r="DG109" s="149"/>
      <c r="DH109" s="149"/>
      <c r="DI109" s="149"/>
      <c r="DJ109" s="149"/>
      <c r="DK109" s="149"/>
      <c r="DL109" s="149"/>
      <c r="DM109" s="149"/>
      <c r="DN109" s="149"/>
      <c r="DO109" s="149"/>
      <c r="DP109" s="149"/>
      <c r="DQ109" s="149"/>
      <c r="DR109" s="149"/>
      <c r="DS109" s="149"/>
      <c r="DT109" s="149"/>
      <c r="DU109" s="149"/>
      <c r="DV109" s="149"/>
      <c r="DW109" s="149"/>
      <c r="DX109" s="149"/>
      <c r="DY109" s="149"/>
      <c r="DZ109" s="149"/>
      <c r="EA109" s="149"/>
      <c r="EB109" s="149"/>
      <c r="EC109" s="149"/>
      <c r="ED109" s="149"/>
      <c r="EE109" s="149"/>
      <c r="EF109" s="149"/>
      <c r="EG109" s="149"/>
      <c r="EH109" s="149"/>
      <c r="EI109" s="149"/>
      <c r="EJ109" s="149"/>
      <c r="EK109" s="149"/>
      <c r="EL109" s="149"/>
      <c r="EM109" s="149"/>
      <c r="EN109" s="149"/>
      <c r="EO109" s="149"/>
      <c r="EP109" s="149"/>
      <c r="EQ109" s="149"/>
      <c r="ER109" s="149"/>
      <c r="ES109" s="149"/>
      <c r="ET109" s="149"/>
      <c r="EU109" s="149"/>
      <c r="EV109" s="149"/>
      <c r="EW109" s="149"/>
      <c r="EX109" s="149"/>
      <c r="EY109" s="149"/>
      <c r="EZ109" s="149"/>
      <c r="FA109" s="149"/>
      <c r="FB109" s="149"/>
      <c r="FC109" s="149"/>
      <c r="FD109" s="149"/>
      <c r="FE109" s="149"/>
      <c r="FF109" s="149"/>
      <c r="FG109" s="149"/>
      <c r="FH109" s="149"/>
      <c r="FI109" s="149"/>
      <c r="FJ109" s="149"/>
      <c r="FK109" s="149"/>
      <c r="FL109" s="149"/>
      <c r="FM109" s="149"/>
      <c r="FN109" s="149"/>
      <c r="FO109" s="149"/>
      <c r="FP109" s="149"/>
      <c r="FQ109" s="149"/>
      <c r="FR109" s="149"/>
      <c r="FS109" s="149"/>
      <c r="FT109" s="149"/>
      <c r="FU109" s="149"/>
      <c r="FV109" s="149"/>
      <c r="FW109" s="149"/>
      <c r="FX109" s="149"/>
      <c r="FY109" s="149"/>
      <c r="FZ109" s="149"/>
      <c r="GA109" s="149"/>
      <c r="GB109" s="149"/>
      <c r="GC109" s="149"/>
      <c r="GD109" s="149"/>
      <c r="GE109" s="149"/>
    </row>
    <row r="110" spans="1:187">
      <c r="A110" s="149"/>
      <c r="B110" s="149"/>
      <c r="C110" s="149"/>
      <c r="D110" s="149"/>
      <c r="E110" s="149"/>
      <c r="F110" s="149"/>
      <c r="G110" s="149"/>
      <c r="H110" s="149"/>
      <c r="I110" s="149"/>
      <c r="J110" s="149"/>
      <c r="K110" s="149"/>
      <c r="L110" s="149"/>
      <c r="M110" s="149"/>
      <c r="N110" s="151"/>
      <c r="O110" s="149"/>
      <c r="P110" s="149"/>
      <c r="Q110" s="149"/>
      <c r="R110" s="149"/>
      <c r="S110" s="149"/>
      <c r="T110" s="149"/>
      <c r="U110" s="149"/>
      <c r="V110" s="149"/>
      <c r="W110" s="149"/>
      <c r="X110" s="149"/>
      <c r="Y110" s="149"/>
      <c r="Z110" s="149"/>
      <c r="AA110" s="149"/>
      <c r="AB110" s="149"/>
      <c r="AC110" s="149"/>
      <c r="AD110" s="149"/>
      <c r="AE110" s="149"/>
      <c r="AF110" s="149"/>
      <c r="AG110" s="149"/>
      <c r="AH110" s="149"/>
      <c r="AI110" s="149"/>
      <c r="AJ110" s="149"/>
      <c r="AK110" s="149"/>
      <c r="AL110" s="149"/>
      <c r="AM110" s="149"/>
      <c r="AN110" s="149"/>
      <c r="AO110" s="149"/>
      <c r="AP110" s="149"/>
      <c r="AQ110" s="149"/>
      <c r="AR110" s="149"/>
      <c r="AS110" s="149"/>
      <c r="AT110" s="149"/>
      <c r="AU110" s="149"/>
      <c r="AV110" s="149"/>
      <c r="AW110" s="149"/>
      <c r="AX110" s="149"/>
      <c r="AY110" s="149"/>
      <c r="AZ110" s="149"/>
      <c r="BA110" s="149"/>
      <c r="BB110" s="149"/>
      <c r="BC110" s="149"/>
      <c r="BD110" s="149"/>
      <c r="BE110" s="151"/>
      <c r="BF110" s="149"/>
      <c r="BG110" s="149"/>
      <c r="BH110" s="149"/>
      <c r="BI110" s="149"/>
      <c r="BJ110" s="149"/>
      <c r="BK110" s="149"/>
      <c r="BL110" s="149"/>
      <c r="BM110" s="149"/>
      <c r="BN110" s="149"/>
      <c r="BO110" s="149"/>
      <c r="BP110" s="149"/>
      <c r="BQ110" s="149"/>
      <c r="BR110" s="149"/>
      <c r="BS110" s="149"/>
      <c r="BT110" s="149"/>
      <c r="BU110" s="149"/>
      <c r="BV110" s="149"/>
      <c r="BW110" s="149"/>
      <c r="BX110" s="149"/>
      <c r="BY110" s="149"/>
      <c r="BZ110" s="149"/>
      <c r="CA110" s="149"/>
      <c r="CB110" s="149"/>
      <c r="CC110" s="149"/>
      <c r="CD110" s="149"/>
      <c r="CE110" s="149"/>
      <c r="CF110" s="149"/>
      <c r="CG110" s="149"/>
      <c r="CH110" s="149"/>
      <c r="CI110" s="149"/>
      <c r="CJ110" s="149"/>
      <c r="CK110" s="149"/>
      <c r="CL110" s="149"/>
      <c r="CM110" s="149"/>
      <c r="CN110" s="149"/>
      <c r="CO110" s="149"/>
      <c r="CP110" s="149"/>
      <c r="CQ110" s="149"/>
      <c r="CR110" s="149"/>
      <c r="CS110" s="149"/>
      <c r="CT110" s="149"/>
      <c r="CU110" s="149"/>
      <c r="CV110" s="149"/>
      <c r="CW110" s="149"/>
      <c r="CX110" s="149"/>
      <c r="CY110" s="149"/>
      <c r="CZ110" s="149"/>
      <c r="DA110" s="149"/>
      <c r="DB110" s="149"/>
      <c r="DC110" s="149"/>
      <c r="DD110" s="149"/>
      <c r="DE110" s="149"/>
      <c r="DF110" s="149"/>
      <c r="DG110" s="149"/>
      <c r="DH110" s="149"/>
      <c r="DI110" s="149"/>
      <c r="DJ110" s="149"/>
      <c r="DK110" s="149"/>
      <c r="DL110" s="149"/>
      <c r="DM110" s="149"/>
      <c r="DN110" s="149"/>
      <c r="DO110" s="149"/>
      <c r="DP110" s="149"/>
      <c r="DQ110" s="149"/>
      <c r="DR110" s="149"/>
      <c r="DS110" s="149"/>
      <c r="DT110" s="149"/>
      <c r="DU110" s="149"/>
      <c r="DV110" s="149"/>
      <c r="DW110" s="149"/>
      <c r="DX110" s="149"/>
      <c r="DY110" s="149"/>
      <c r="DZ110" s="149"/>
      <c r="EA110" s="149"/>
      <c r="EB110" s="149"/>
      <c r="EC110" s="149"/>
      <c r="ED110" s="149"/>
      <c r="EE110" s="149"/>
      <c r="EF110" s="149"/>
      <c r="EG110" s="149"/>
      <c r="EH110" s="149"/>
      <c r="EI110" s="149"/>
      <c r="EJ110" s="149"/>
      <c r="EK110" s="149"/>
      <c r="EL110" s="149"/>
      <c r="EM110" s="149"/>
      <c r="EN110" s="149"/>
      <c r="EO110" s="149"/>
      <c r="EP110" s="149"/>
      <c r="EQ110" s="149"/>
      <c r="ER110" s="149"/>
      <c r="ES110" s="149"/>
      <c r="ET110" s="149"/>
      <c r="EU110" s="149"/>
      <c r="EV110" s="149"/>
      <c r="EW110" s="149"/>
      <c r="EX110" s="149"/>
      <c r="EY110" s="149"/>
      <c r="EZ110" s="149"/>
      <c r="FA110" s="149"/>
      <c r="FB110" s="149"/>
      <c r="FC110" s="149"/>
      <c r="FD110" s="149"/>
      <c r="FE110" s="149"/>
      <c r="FF110" s="149"/>
      <c r="FG110" s="149"/>
      <c r="FH110" s="149"/>
      <c r="FI110" s="149"/>
      <c r="FJ110" s="149"/>
      <c r="FK110" s="149"/>
      <c r="FL110" s="149"/>
      <c r="FM110" s="149"/>
      <c r="FN110" s="149"/>
      <c r="FO110" s="149"/>
      <c r="FP110" s="149"/>
      <c r="FQ110" s="149"/>
      <c r="FR110" s="149"/>
      <c r="FS110" s="149"/>
      <c r="FT110" s="149"/>
      <c r="FU110" s="149"/>
      <c r="FV110" s="149"/>
      <c r="FW110" s="149"/>
      <c r="FX110" s="149"/>
      <c r="FY110" s="149"/>
      <c r="FZ110" s="149"/>
      <c r="GA110" s="149"/>
      <c r="GB110" s="149"/>
      <c r="GC110" s="149"/>
      <c r="GD110" s="149"/>
      <c r="GE110" s="149"/>
    </row>
  </sheetData>
  <autoFilter ref="A4:GF43"/>
  <mergeCells count="98">
    <mergeCell ref="GE2:GE3"/>
    <mergeCell ref="FQ2:FQ3"/>
    <mergeCell ref="FR2:FR3"/>
    <mergeCell ref="FS2:FS3"/>
    <mergeCell ref="FT2:FT3"/>
    <mergeCell ref="FU2:FU3"/>
    <mergeCell ref="FV2:FV3"/>
    <mergeCell ref="FW2:FW3"/>
    <mergeCell ref="FX2:GA2"/>
    <mergeCell ref="GB2:GB3"/>
    <mergeCell ref="GC2:GC3"/>
    <mergeCell ref="GD2:GD3"/>
    <mergeCell ref="FP2:FP3"/>
    <mergeCell ref="DH2:DN2"/>
    <mergeCell ref="DO2:DT2"/>
    <mergeCell ref="DU2:DY2"/>
    <mergeCell ref="DZ2:ED2"/>
    <mergeCell ref="EE2:EL2"/>
    <mergeCell ref="EM2:EY2"/>
    <mergeCell ref="EZ2:FG2"/>
    <mergeCell ref="FH2:FJ2"/>
    <mergeCell ref="FK2:FM2"/>
    <mergeCell ref="FN2:FN3"/>
    <mergeCell ref="FO2:FO3"/>
    <mergeCell ref="DG2:DG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CU2:CU3"/>
    <mergeCell ref="AZ2:AZ3"/>
    <mergeCell ref="BA2:BA3"/>
    <mergeCell ref="BC2:BJ2"/>
    <mergeCell ref="BK2:BR2"/>
    <mergeCell ref="BS2:BZ2"/>
    <mergeCell ref="CA2:CH2"/>
    <mergeCell ref="CI2:CL2"/>
    <mergeCell ref="CM2:CQ2"/>
    <mergeCell ref="CR2:CR3"/>
    <mergeCell ref="CS2:CS3"/>
    <mergeCell ref="CT2:CT3"/>
    <mergeCell ref="AY2:AY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M2:M3"/>
    <mergeCell ref="N2:N3"/>
    <mergeCell ref="O2:O3"/>
    <mergeCell ref="P2:P3"/>
    <mergeCell ref="AH2:AM2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EE1:FM1"/>
    <mergeCell ref="FN1:FW1"/>
    <mergeCell ref="FX1:GB1"/>
    <mergeCell ref="GC1:GE1"/>
    <mergeCell ref="AQ1:CU1"/>
    <mergeCell ref="CV1:ED1"/>
    <mergeCell ref="G2:G3"/>
    <mergeCell ref="A1:A3"/>
    <mergeCell ref="B1:D1"/>
    <mergeCell ref="E1:Y1"/>
    <mergeCell ref="Z1:AP1"/>
    <mergeCell ref="H2:H3"/>
    <mergeCell ref="I2:I3"/>
    <mergeCell ref="J2:J3"/>
    <mergeCell ref="K2:K3"/>
    <mergeCell ref="B2:B3"/>
    <mergeCell ref="C2:C3"/>
    <mergeCell ref="D2:D3"/>
    <mergeCell ref="E2:E3"/>
    <mergeCell ref="F2:F3"/>
    <mergeCell ref="Q2:V2"/>
    <mergeCell ref="L2:L3"/>
  </mergeCells>
  <conditionalFormatting sqref="AT1:AT3">
    <cfRule type="duplicateValues" dxfId="1" priority="2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"/>
  <sheetViews>
    <sheetView topLeftCell="G16" zoomScale="141" workbookViewId="0">
      <selection activeCell="M22" sqref="M22:M24"/>
    </sheetView>
  </sheetViews>
  <sheetFormatPr defaultRowHeight="14.4"/>
  <sheetData>
    <row r="1" spans="1:27">
      <c r="A1" s="133" t="s">
        <v>2030</v>
      </c>
      <c r="B1" s="133" t="s">
        <v>2031</v>
      </c>
      <c r="C1" s="133" t="s">
        <v>2032</v>
      </c>
      <c r="D1" s="133" t="s">
        <v>2033</v>
      </c>
      <c r="E1" s="133" t="s">
        <v>2034</v>
      </c>
      <c r="F1" s="133" t="s">
        <v>2035</v>
      </c>
      <c r="G1" s="133" t="s">
        <v>2036</v>
      </c>
    </row>
    <row r="2" spans="1:27">
      <c r="A2" s="133">
        <v>52</v>
      </c>
      <c r="B2" s="133">
        <v>75</v>
      </c>
      <c r="C2" s="133" t="s">
        <v>2037</v>
      </c>
      <c r="D2" s="133" t="s">
        <v>2038</v>
      </c>
      <c r="E2" s="133" t="s">
        <v>2039</v>
      </c>
      <c r="F2" s="133" t="s">
        <v>2040</v>
      </c>
      <c r="G2" s="133" t="s">
        <v>2041</v>
      </c>
    </row>
    <row r="3" spans="1:27">
      <c r="A3" s="133">
        <v>52</v>
      </c>
      <c r="B3" s="133">
        <v>74</v>
      </c>
      <c r="C3" s="133" t="s">
        <v>2042</v>
      </c>
      <c r="D3" s="133" t="s">
        <v>2038</v>
      </c>
      <c r="E3" s="133" t="s">
        <v>2043</v>
      </c>
      <c r="F3" s="133" t="s">
        <v>2044</v>
      </c>
      <c r="G3" s="133" t="s">
        <v>2041</v>
      </c>
    </row>
    <row r="4" spans="1:27">
      <c r="A4" s="133">
        <v>52</v>
      </c>
      <c r="B4" s="133">
        <v>73</v>
      </c>
      <c r="C4" s="133" t="s">
        <v>2045</v>
      </c>
      <c r="D4" s="133" t="s">
        <v>2046</v>
      </c>
      <c r="E4" s="133" t="s">
        <v>2043</v>
      </c>
      <c r="F4" s="133" t="s">
        <v>2044</v>
      </c>
      <c r="G4" s="133" t="s">
        <v>2041</v>
      </c>
    </row>
    <row r="5" spans="1:27">
      <c r="A5" s="133">
        <v>52</v>
      </c>
      <c r="B5" s="133" t="s">
        <v>2047</v>
      </c>
      <c r="C5" s="133" t="s">
        <v>2029</v>
      </c>
      <c r="D5" s="133" t="s">
        <v>2038</v>
      </c>
      <c r="E5" s="133" t="s">
        <v>2043</v>
      </c>
      <c r="F5" s="133" t="s">
        <v>2044</v>
      </c>
      <c r="G5" s="133" t="s">
        <v>2041</v>
      </c>
    </row>
    <row r="6" spans="1:27">
      <c r="A6" s="133">
        <v>52</v>
      </c>
      <c r="B6" s="133">
        <v>21</v>
      </c>
      <c r="C6" s="133" t="s">
        <v>2048</v>
      </c>
      <c r="D6" s="133" t="s">
        <v>2038</v>
      </c>
      <c r="E6" s="133" t="s">
        <v>2049</v>
      </c>
      <c r="F6" s="133" t="s">
        <v>2044</v>
      </c>
      <c r="G6" s="133" t="s">
        <v>2041</v>
      </c>
    </row>
    <row r="8" spans="1:27" ht="28.8">
      <c r="A8" s="132" t="s">
        <v>2061</v>
      </c>
      <c r="B8" s="132" t="s">
        <v>2031</v>
      </c>
      <c r="C8" s="132" t="s">
        <v>2032</v>
      </c>
      <c r="D8" s="132" t="s">
        <v>2033</v>
      </c>
      <c r="E8" t="s">
        <v>2062</v>
      </c>
      <c r="F8" s="132" t="s">
        <v>2063</v>
      </c>
      <c r="G8" t="s">
        <v>569</v>
      </c>
      <c r="L8" s="131" t="s">
        <v>2082</v>
      </c>
      <c r="M8" s="131" t="s">
        <v>2083</v>
      </c>
      <c r="N8" s="131" t="s">
        <v>2084</v>
      </c>
      <c r="O8" s="131" t="s">
        <v>2033</v>
      </c>
      <c r="P8" s="131" t="s">
        <v>2034</v>
      </c>
      <c r="Q8" s="131" t="s">
        <v>2085</v>
      </c>
      <c r="R8" s="131" t="s">
        <v>2086</v>
      </c>
      <c r="U8" s="169" t="s">
        <v>2030</v>
      </c>
      <c r="V8" s="169" t="s">
        <v>2083</v>
      </c>
      <c r="W8" s="169" t="s">
        <v>2032</v>
      </c>
      <c r="X8" s="170" t="s">
        <v>2106</v>
      </c>
      <c r="Y8" s="169" t="s">
        <v>2034</v>
      </c>
      <c r="Z8" s="169" t="s">
        <v>2085</v>
      </c>
      <c r="AA8" s="170" t="s">
        <v>569</v>
      </c>
    </row>
    <row r="9" spans="1:27" ht="100.8">
      <c r="A9">
        <v>43</v>
      </c>
      <c r="B9">
        <v>264</v>
      </c>
      <c r="C9" t="s">
        <v>2064</v>
      </c>
      <c r="D9" s="132" t="s">
        <v>2038</v>
      </c>
      <c r="E9" s="132" t="s">
        <v>2065</v>
      </c>
      <c r="F9" s="132" t="s">
        <v>2040</v>
      </c>
      <c r="G9" s="132" t="s">
        <v>2066</v>
      </c>
      <c r="L9" s="131">
        <v>65</v>
      </c>
      <c r="M9" s="131">
        <v>311</v>
      </c>
      <c r="N9" s="131" t="s">
        <v>2087</v>
      </c>
      <c r="O9" s="131" t="s">
        <v>2038</v>
      </c>
      <c r="P9" s="131" t="s">
        <v>2088</v>
      </c>
      <c r="Q9" s="131" t="s">
        <v>2044</v>
      </c>
      <c r="R9" s="131" t="s">
        <v>2089</v>
      </c>
      <c r="U9" s="170">
        <v>24</v>
      </c>
      <c r="V9" s="170">
        <v>348</v>
      </c>
      <c r="W9" s="169" t="s">
        <v>2107</v>
      </c>
      <c r="X9" s="170" t="s">
        <v>2046</v>
      </c>
      <c r="Y9" s="169" t="s">
        <v>2108</v>
      </c>
      <c r="Z9" s="170" t="s">
        <v>2109</v>
      </c>
      <c r="AA9" s="170" t="s">
        <v>2110</v>
      </c>
    </row>
    <row r="10" spans="1:27" ht="100.8">
      <c r="A10">
        <v>43</v>
      </c>
      <c r="B10">
        <v>217</v>
      </c>
      <c r="C10" t="s">
        <v>2067</v>
      </c>
      <c r="D10" s="132" t="s">
        <v>2038</v>
      </c>
      <c r="E10" s="132" t="s">
        <v>2068</v>
      </c>
      <c r="F10" s="132" t="s">
        <v>2044</v>
      </c>
      <c r="G10" s="132" t="s">
        <v>2069</v>
      </c>
      <c r="L10" s="131">
        <v>76</v>
      </c>
      <c r="M10" s="131">
        <v>259</v>
      </c>
      <c r="N10" s="131" t="s">
        <v>2090</v>
      </c>
      <c r="O10" s="131" t="s">
        <v>2038</v>
      </c>
      <c r="P10" s="131" t="s">
        <v>2091</v>
      </c>
      <c r="Q10" s="131" t="s">
        <v>2044</v>
      </c>
      <c r="R10" s="131" t="s">
        <v>2092</v>
      </c>
      <c r="U10" s="170">
        <v>24</v>
      </c>
      <c r="V10" s="170">
        <v>385</v>
      </c>
      <c r="W10" s="169" t="s">
        <v>2111</v>
      </c>
      <c r="X10" s="170" t="s">
        <v>2046</v>
      </c>
      <c r="Y10" s="169" t="s">
        <v>2108</v>
      </c>
      <c r="Z10" s="169" t="s">
        <v>2109</v>
      </c>
      <c r="AA10" s="170" t="s">
        <v>2110</v>
      </c>
    </row>
    <row r="11" spans="1:27" ht="100.8">
      <c r="A11">
        <v>43</v>
      </c>
      <c r="B11">
        <v>160</v>
      </c>
      <c r="C11" t="s">
        <v>2070</v>
      </c>
      <c r="D11" s="132" t="s">
        <v>2038</v>
      </c>
      <c r="E11" s="132" t="s">
        <v>2065</v>
      </c>
      <c r="F11" s="132" t="s">
        <v>2044</v>
      </c>
      <c r="G11" s="132" t="s">
        <v>2066</v>
      </c>
      <c r="L11" s="131">
        <v>76</v>
      </c>
      <c r="M11" s="131">
        <v>310</v>
      </c>
      <c r="N11" s="131" t="s">
        <v>2093</v>
      </c>
      <c r="O11" s="131" t="s">
        <v>2038</v>
      </c>
      <c r="P11" s="131" t="s">
        <v>2094</v>
      </c>
      <c r="Q11" s="131" t="s">
        <v>2040</v>
      </c>
      <c r="R11" s="131" t="s">
        <v>2095</v>
      </c>
    </row>
    <row r="12" spans="1:27" ht="100.8">
      <c r="A12">
        <v>42</v>
      </c>
      <c r="B12">
        <v>130</v>
      </c>
      <c r="C12" t="s">
        <v>2071</v>
      </c>
      <c r="D12" s="132" t="s">
        <v>2038</v>
      </c>
      <c r="E12" s="132" t="s">
        <v>2065</v>
      </c>
      <c r="F12" s="132" t="s">
        <v>2072</v>
      </c>
      <c r="G12" s="132" t="s">
        <v>2066</v>
      </c>
    </row>
    <row r="13" spans="1:27">
      <c r="A13" t="s">
        <v>2073</v>
      </c>
    </row>
    <row r="16" spans="1:27" ht="19.2">
      <c r="L16" s="169" t="s">
        <v>2030</v>
      </c>
      <c r="M16" s="169" t="s">
        <v>2083</v>
      </c>
      <c r="N16" s="169" t="s">
        <v>2032</v>
      </c>
      <c r="O16" s="170" t="s">
        <v>2106</v>
      </c>
      <c r="P16" s="169" t="s">
        <v>2034</v>
      </c>
      <c r="Q16" s="169" t="s">
        <v>2085</v>
      </c>
      <c r="R16" s="170" t="s">
        <v>569</v>
      </c>
    </row>
    <row r="17" spans="12:18" ht="67.2">
      <c r="L17" s="170">
        <v>24</v>
      </c>
      <c r="M17" s="170">
        <v>348</v>
      </c>
      <c r="N17" s="169" t="s">
        <v>2107</v>
      </c>
      <c r="O17" s="170" t="s">
        <v>2046</v>
      </c>
      <c r="P17" s="169" t="s">
        <v>2108</v>
      </c>
      <c r="Q17" s="170" t="s">
        <v>2109</v>
      </c>
      <c r="R17" s="170" t="s">
        <v>2110</v>
      </c>
    </row>
    <row r="18" spans="12:18" ht="67.2">
      <c r="L18" s="170">
        <v>24</v>
      </c>
      <c r="M18" s="170">
        <v>385</v>
      </c>
      <c r="N18" s="169" t="s">
        <v>2111</v>
      </c>
      <c r="O18" s="170" t="s">
        <v>2046</v>
      </c>
      <c r="P18" s="169" t="s">
        <v>2108</v>
      </c>
      <c r="Q18" s="169" t="s">
        <v>2109</v>
      </c>
      <c r="R18" s="170" t="s">
        <v>2110</v>
      </c>
    </row>
    <row r="21" spans="12:18" ht="19.2">
      <c r="L21" s="174" t="s">
        <v>2120</v>
      </c>
      <c r="M21" s="174" t="s">
        <v>2083</v>
      </c>
      <c r="N21" s="174" t="s">
        <v>2032</v>
      </c>
      <c r="O21" s="174" t="s">
        <v>2033</v>
      </c>
      <c r="P21" s="174" t="s">
        <v>2034</v>
      </c>
      <c r="Q21" s="174" t="s">
        <v>2085</v>
      </c>
      <c r="R21" s="174" t="s">
        <v>569</v>
      </c>
    </row>
    <row r="22" spans="12:18" ht="67.2">
      <c r="L22" s="174">
        <v>24</v>
      </c>
      <c r="M22" s="174">
        <v>288</v>
      </c>
      <c r="N22" s="174" t="s">
        <v>2121</v>
      </c>
      <c r="O22" s="174" t="s">
        <v>2038</v>
      </c>
      <c r="P22" s="174" t="s">
        <v>2122</v>
      </c>
      <c r="Q22" s="174" t="s">
        <v>2109</v>
      </c>
      <c r="R22" s="174" t="s">
        <v>2110</v>
      </c>
    </row>
    <row r="23" spans="12:18" ht="67.2">
      <c r="L23" s="174">
        <v>24</v>
      </c>
      <c r="M23" s="174">
        <v>389</v>
      </c>
      <c r="N23" s="174" t="s">
        <v>2123</v>
      </c>
      <c r="O23" s="174" t="s">
        <v>2038</v>
      </c>
      <c r="P23" s="174" t="s">
        <v>2108</v>
      </c>
      <c r="Q23" s="174" t="s">
        <v>2109</v>
      </c>
      <c r="R23" s="174" t="s">
        <v>2110</v>
      </c>
    </row>
    <row r="24" spans="12:18" ht="67.2">
      <c r="L24" s="174">
        <v>24</v>
      </c>
      <c r="M24" s="174">
        <v>416</v>
      </c>
      <c r="N24" s="131" t="s">
        <v>2124</v>
      </c>
      <c r="O24" s="174" t="s">
        <v>2038</v>
      </c>
      <c r="P24" s="174" t="s">
        <v>2108</v>
      </c>
      <c r="Q24" s="174" t="s">
        <v>2109</v>
      </c>
      <c r="R24" s="174" t="s">
        <v>2110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8"/>
  <sheetViews>
    <sheetView topLeftCell="A25" workbookViewId="0">
      <selection activeCell="D103" sqref="D103"/>
    </sheetView>
  </sheetViews>
  <sheetFormatPr defaultColWidth="9.109375" defaultRowHeight="13.8"/>
  <cols>
    <col min="1" max="1" width="12.33203125" style="20" customWidth="1"/>
    <col min="2" max="2" width="15.5546875" style="17" customWidth="1"/>
    <col min="3" max="3" width="24.44140625" style="18" customWidth="1"/>
    <col min="4" max="4" width="69.44140625" style="18" customWidth="1"/>
    <col min="5" max="5" width="40.109375" style="26" customWidth="1"/>
    <col min="6" max="17" width="9.109375" style="18" customWidth="1"/>
    <col min="18" max="16384" width="9.109375" style="18"/>
  </cols>
  <sheetData>
    <row r="1" spans="1:16" ht="54.75" customHeight="1" thickBot="1">
      <c r="A1" s="35"/>
      <c r="B1" s="36"/>
      <c r="C1" s="37"/>
      <c r="D1" s="37" t="s">
        <v>671</v>
      </c>
      <c r="E1" s="38" t="s">
        <v>753</v>
      </c>
      <c r="F1" s="39" t="s">
        <v>676</v>
      </c>
      <c r="G1" s="39" t="s">
        <v>677</v>
      </c>
      <c r="H1" s="39"/>
      <c r="I1" s="39"/>
      <c r="J1" s="39"/>
      <c r="K1" s="39"/>
      <c r="L1" s="39"/>
      <c r="M1" s="39"/>
      <c r="N1" s="39"/>
      <c r="O1" s="39"/>
      <c r="P1" s="39"/>
    </row>
    <row r="2" spans="1:16">
      <c r="A2" s="40" t="s">
        <v>672</v>
      </c>
      <c r="B2" s="41" t="s">
        <v>673</v>
      </c>
      <c r="C2" s="42" t="s">
        <v>674</v>
      </c>
      <c r="D2" s="43" t="s">
        <v>675</v>
      </c>
      <c r="E2" s="44"/>
      <c r="F2" s="39"/>
      <c r="G2" s="45"/>
      <c r="H2" s="112" t="s">
        <v>678</v>
      </c>
      <c r="I2" s="113"/>
      <c r="J2" s="113"/>
      <c r="K2" s="113"/>
      <c r="L2" s="113"/>
      <c r="M2" s="113"/>
      <c r="N2" s="113"/>
      <c r="O2" s="113"/>
      <c r="P2" s="113"/>
    </row>
    <row r="3" spans="1:16" ht="18" customHeight="1">
      <c r="A3" s="46" t="s">
        <v>46</v>
      </c>
      <c r="B3" s="47" t="s">
        <v>0</v>
      </c>
      <c r="C3" s="48" t="s">
        <v>0</v>
      </c>
      <c r="D3" s="49" t="s">
        <v>681</v>
      </c>
      <c r="E3" s="39"/>
      <c r="F3" s="39"/>
      <c r="G3" s="39"/>
      <c r="H3" s="113" t="s">
        <v>680</v>
      </c>
      <c r="I3" s="113"/>
      <c r="J3" s="113"/>
      <c r="K3" s="113"/>
      <c r="L3" s="113"/>
      <c r="M3" s="113"/>
      <c r="N3" s="113"/>
      <c r="O3" s="113"/>
      <c r="P3" s="113"/>
    </row>
    <row r="4" spans="1:16" ht="18" customHeight="1">
      <c r="A4" s="46" t="s">
        <v>47</v>
      </c>
      <c r="B4" s="114" t="s">
        <v>1</v>
      </c>
      <c r="C4" s="50" t="s">
        <v>7</v>
      </c>
      <c r="D4" s="49" t="s">
        <v>682</v>
      </c>
      <c r="E4" s="39"/>
      <c r="F4" s="39"/>
      <c r="G4" s="39"/>
      <c r="H4" s="113" t="s">
        <v>679</v>
      </c>
      <c r="I4" s="113"/>
      <c r="J4" s="113"/>
      <c r="K4" s="113"/>
      <c r="L4" s="113"/>
      <c r="M4" s="113"/>
      <c r="N4" s="113"/>
      <c r="O4" s="113"/>
      <c r="P4" s="113"/>
    </row>
    <row r="5" spans="1:16" ht="18" customHeight="1">
      <c r="A5" s="46" t="s">
        <v>48</v>
      </c>
      <c r="B5" s="114"/>
      <c r="C5" s="50" t="s">
        <v>8</v>
      </c>
      <c r="D5" s="49" t="s">
        <v>683</v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</row>
    <row r="6" spans="1:16" ht="18" customHeight="1">
      <c r="A6" s="46" t="s">
        <v>49</v>
      </c>
      <c r="B6" s="114"/>
      <c r="C6" s="50" t="s">
        <v>9</v>
      </c>
      <c r="D6" s="49" t="s">
        <v>684</v>
      </c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</row>
    <row r="7" spans="1:16" ht="18" customHeight="1">
      <c r="A7" s="46" t="s">
        <v>50</v>
      </c>
      <c r="B7" s="114" t="s">
        <v>534</v>
      </c>
      <c r="C7" s="50" t="s">
        <v>6</v>
      </c>
      <c r="D7" s="49" t="s">
        <v>685</v>
      </c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</row>
    <row r="8" spans="1:16" ht="18" customHeight="1">
      <c r="A8" s="46" t="s">
        <v>51</v>
      </c>
      <c r="B8" s="114"/>
      <c r="C8" s="50" t="s">
        <v>10</v>
      </c>
      <c r="D8" s="49" t="s">
        <v>686</v>
      </c>
      <c r="E8" s="39"/>
      <c r="F8" s="51" t="s">
        <v>772</v>
      </c>
      <c r="G8" s="39"/>
      <c r="H8" s="39"/>
      <c r="I8" s="39"/>
      <c r="J8" s="39"/>
      <c r="K8" s="39"/>
      <c r="L8" s="39"/>
      <c r="M8" s="39"/>
      <c r="N8" s="39"/>
      <c r="O8" s="39"/>
      <c r="P8" s="39"/>
    </row>
    <row r="9" spans="1:16" ht="18" customHeight="1">
      <c r="A9" s="46" t="s">
        <v>52</v>
      </c>
      <c r="B9" s="114"/>
      <c r="C9" s="50" t="s">
        <v>11</v>
      </c>
      <c r="D9" s="49" t="s">
        <v>687</v>
      </c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</row>
    <row r="10" spans="1:16" ht="18" customHeight="1">
      <c r="A10" s="46" t="s">
        <v>53</v>
      </c>
      <c r="B10" s="114"/>
      <c r="C10" s="50" t="s">
        <v>649</v>
      </c>
      <c r="D10" s="49" t="s">
        <v>688</v>
      </c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</row>
    <row r="11" spans="1:16" ht="18" customHeight="1">
      <c r="A11" s="46" t="s">
        <v>54</v>
      </c>
      <c r="B11" s="114"/>
      <c r="C11" s="50" t="s">
        <v>537</v>
      </c>
      <c r="D11" s="49" t="s">
        <v>689</v>
      </c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</row>
    <row r="12" spans="1:16" ht="48.75" customHeight="1">
      <c r="A12" s="46" t="s">
        <v>55</v>
      </c>
      <c r="B12" s="114"/>
      <c r="C12" s="52" t="s">
        <v>12</v>
      </c>
      <c r="D12" s="53" t="s">
        <v>690</v>
      </c>
      <c r="E12" s="54" t="s">
        <v>752</v>
      </c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</row>
    <row r="13" spans="1:16" ht="18" customHeight="1">
      <c r="A13" s="46" t="s">
        <v>56</v>
      </c>
      <c r="B13" s="114"/>
      <c r="C13" s="52" t="s">
        <v>647</v>
      </c>
      <c r="D13" s="55" t="s">
        <v>691</v>
      </c>
      <c r="E13" s="39" t="s">
        <v>749</v>
      </c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</row>
    <row r="14" spans="1:16" ht="18" customHeight="1">
      <c r="A14" s="46" t="s">
        <v>57</v>
      </c>
      <c r="B14" s="114"/>
      <c r="C14" s="50" t="s">
        <v>13</v>
      </c>
      <c r="D14" s="49" t="s">
        <v>692</v>
      </c>
      <c r="E14" s="39" t="s">
        <v>754</v>
      </c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</row>
    <row r="15" spans="1:16" ht="18" customHeight="1">
      <c r="A15" s="46" t="s">
        <v>58</v>
      </c>
      <c r="B15" s="114"/>
      <c r="C15" s="50" t="s">
        <v>14</v>
      </c>
      <c r="D15" s="49" t="s">
        <v>693</v>
      </c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</row>
    <row r="16" spans="1:16" ht="43.2">
      <c r="A16" s="46" t="s">
        <v>59</v>
      </c>
      <c r="B16" s="114"/>
      <c r="C16" s="52" t="s">
        <v>15</v>
      </c>
      <c r="D16" s="56" t="s">
        <v>694</v>
      </c>
      <c r="E16" s="57" t="s">
        <v>755</v>
      </c>
      <c r="F16" s="51" t="s">
        <v>766</v>
      </c>
      <c r="G16" s="39"/>
      <c r="H16" s="39"/>
      <c r="I16" s="39"/>
      <c r="J16" s="39"/>
      <c r="K16" s="39"/>
      <c r="L16" s="39"/>
      <c r="M16" s="39"/>
      <c r="N16" s="39"/>
      <c r="O16" s="39"/>
      <c r="P16" s="39"/>
    </row>
    <row r="17" spans="1:16" ht="18" customHeight="1">
      <c r="A17" s="46" t="s">
        <v>60</v>
      </c>
      <c r="B17" s="114"/>
      <c r="C17" s="50" t="s">
        <v>16</v>
      </c>
      <c r="D17" s="49" t="s">
        <v>695</v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</row>
    <row r="18" spans="1:16" ht="33.75" customHeight="1">
      <c r="A18" s="46" t="s">
        <v>61</v>
      </c>
      <c r="B18" s="114"/>
      <c r="C18" s="50" t="s">
        <v>17</v>
      </c>
      <c r="D18" s="49" t="s">
        <v>696</v>
      </c>
      <c r="E18" s="39" t="s">
        <v>759</v>
      </c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</row>
    <row r="19" spans="1:16" ht="18" customHeight="1">
      <c r="A19" s="46" t="s">
        <v>62</v>
      </c>
      <c r="B19" s="114"/>
      <c r="C19" s="50" t="s">
        <v>181</v>
      </c>
      <c r="D19" s="49" t="s">
        <v>698</v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</row>
    <row r="20" spans="1:16" ht="18" customHeight="1">
      <c r="A20" s="46" t="s">
        <v>63</v>
      </c>
      <c r="B20" s="114"/>
      <c r="C20" s="50" t="s">
        <v>161</v>
      </c>
      <c r="D20" s="49" t="s">
        <v>697</v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</row>
    <row r="21" spans="1:16" ht="18" customHeight="1">
      <c r="A21" s="46" t="s">
        <v>64</v>
      </c>
      <c r="B21" s="114"/>
      <c r="C21" s="50" t="s">
        <v>162</v>
      </c>
      <c r="D21" s="49" t="s">
        <v>699</v>
      </c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</row>
    <row r="22" spans="1:16" ht="18" customHeight="1">
      <c r="A22" s="46" t="s">
        <v>65</v>
      </c>
      <c r="B22" s="114"/>
      <c r="C22" s="50" t="s">
        <v>174</v>
      </c>
      <c r="D22" s="49" t="s">
        <v>700</v>
      </c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</row>
    <row r="23" spans="1:16" ht="18" customHeight="1">
      <c r="A23" s="46" t="s">
        <v>66</v>
      </c>
      <c r="B23" s="114"/>
      <c r="C23" s="50" t="s">
        <v>648</v>
      </c>
      <c r="D23" s="49" t="s">
        <v>702</v>
      </c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</row>
    <row r="24" spans="1:16" ht="18" customHeight="1">
      <c r="A24" s="46" t="s">
        <v>67</v>
      </c>
      <c r="B24" s="114"/>
      <c r="C24" s="50" t="s">
        <v>175</v>
      </c>
      <c r="D24" s="49"/>
      <c r="E24" s="39" t="s">
        <v>756</v>
      </c>
      <c r="F24" s="51" t="s">
        <v>773</v>
      </c>
      <c r="G24" s="39"/>
      <c r="H24" s="39"/>
      <c r="I24" s="39"/>
      <c r="J24" s="39"/>
      <c r="K24" s="39"/>
      <c r="L24" s="39"/>
      <c r="M24" s="39"/>
      <c r="N24" s="39"/>
      <c r="O24" s="39"/>
      <c r="P24" s="39"/>
    </row>
    <row r="25" spans="1:16" ht="18" customHeight="1">
      <c r="A25" s="46" t="s">
        <v>68</v>
      </c>
      <c r="B25" s="114"/>
      <c r="C25" s="50" t="s">
        <v>170</v>
      </c>
      <c r="D25" s="49" t="s">
        <v>701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</row>
    <row r="26" spans="1:16" ht="18" customHeight="1">
      <c r="A26" s="46" t="s">
        <v>69</v>
      </c>
      <c r="B26" s="114"/>
      <c r="C26" s="50" t="s">
        <v>169</v>
      </c>
      <c r="D26" s="49" t="s">
        <v>703</v>
      </c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</row>
    <row r="27" spans="1:16" ht="18" customHeight="1">
      <c r="A27" s="46" t="s">
        <v>70</v>
      </c>
      <c r="B27" s="114"/>
      <c r="C27" s="50" t="s">
        <v>168</v>
      </c>
      <c r="D27" s="49" t="s">
        <v>704</v>
      </c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</row>
    <row r="28" spans="1:16" ht="18" customHeight="1">
      <c r="A28" s="46" t="s">
        <v>71</v>
      </c>
      <c r="B28" s="114" t="s">
        <v>757</v>
      </c>
      <c r="C28" s="50" t="s">
        <v>18</v>
      </c>
      <c r="D28" s="49" t="s">
        <v>689</v>
      </c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</row>
    <row r="29" spans="1:16" ht="18" customHeight="1">
      <c r="A29" s="46" t="s">
        <v>72</v>
      </c>
      <c r="B29" s="114"/>
      <c r="C29" s="50" t="s">
        <v>12</v>
      </c>
      <c r="D29" s="49" t="s">
        <v>690</v>
      </c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</row>
    <row r="30" spans="1:16" ht="18" customHeight="1">
      <c r="A30" s="46" t="s">
        <v>73</v>
      </c>
      <c r="B30" s="114"/>
      <c r="C30" s="50" t="s">
        <v>647</v>
      </c>
      <c r="D30" s="49" t="s">
        <v>691</v>
      </c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</row>
    <row r="31" spans="1:16" ht="18" customHeight="1">
      <c r="A31" s="46" t="s">
        <v>74</v>
      </c>
      <c r="B31" s="114"/>
      <c r="C31" s="50" t="s">
        <v>13</v>
      </c>
      <c r="D31" s="49" t="s">
        <v>692</v>
      </c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</row>
    <row r="32" spans="1:16" ht="18" customHeight="1">
      <c r="A32" s="46" t="s">
        <v>75</v>
      </c>
      <c r="B32" s="114"/>
      <c r="C32" s="50" t="s">
        <v>14</v>
      </c>
      <c r="D32" s="49" t="s">
        <v>693</v>
      </c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</row>
    <row r="33" spans="1:16" ht="18" customHeight="1">
      <c r="A33" s="46" t="s">
        <v>76</v>
      </c>
      <c r="B33" s="114"/>
      <c r="C33" s="50" t="s">
        <v>19</v>
      </c>
      <c r="D33" s="49" t="s">
        <v>694</v>
      </c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</row>
    <row r="34" spans="1:16" ht="18" customHeight="1">
      <c r="A34" s="46" t="s">
        <v>77</v>
      </c>
      <c r="B34" s="114"/>
      <c r="C34" s="50" t="s">
        <v>16</v>
      </c>
      <c r="D34" s="49" t="s">
        <v>695</v>
      </c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</row>
    <row r="35" spans="1:16" ht="18" customHeight="1">
      <c r="A35" s="46" t="s">
        <v>78</v>
      </c>
      <c r="B35" s="114"/>
      <c r="C35" s="50" t="s">
        <v>17</v>
      </c>
      <c r="D35" s="49" t="s">
        <v>696</v>
      </c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</row>
    <row r="36" spans="1:16" ht="18" customHeight="1">
      <c r="A36" s="46" t="s">
        <v>79</v>
      </c>
      <c r="B36" s="114"/>
      <c r="C36" s="50" t="s">
        <v>176</v>
      </c>
      <c r="D36" s="49" t="s">
        <v>698</v>
      </c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</row>
    <row r="37" spans="1:16" ht="18" customHeight="1">
      <c r="A37" s="46" t="s">
        <v>80</v>
      </c>
      <c r="B37" s="114"/>
      <c r="C37" s="50" t="s">
        <v>161</v>
      </c>
      <c r="D37" s="49" t="s">
        <v>697</v>
      </c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</row>
    <row r="38" spans="1:16" ht="18" customHeight="1">
      <c r="A38" s="46" t="s">
        <v>81</v>
      </c>
      <c r="B38" s="114"/>
      <c r="C38" s="50" t="s">
        <v>162</v>
      </c>
      <c r="D38" s="49" t="s">
        <v>699</v>
      </c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</row>
    <row r="39" spans="1:16" ht="18" customHeight="1">
      <c r="A39" s="46" t="s">
        <v>82</v>
      </c>
      <c r="B39" s="114"/>
      <c r="C39" s="50" t="s">
        <v>177</v>
      </c>
      <c r="D39" s="49" t="s">
        <v>700</v>
      </c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</row>
    <row r="40" spans="1:16" ht="18" customHeight="1">
      <c r="A40" s="46" t="s">
        <v>83</v>
      </c>
      <c r="B40" s="114"/>
      <c r="C40" s="50" t="s">
        <v>648</v>
      </c>
      <c r="D40" s="49" t="s">
        <v>702</v>
      </c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</row>
    <row r="41" spans="1:16" ht="18" customHeight="1">
      <c r="A41" s="46" t="s">
        <v>84</v>
      </c>
      <c r="B41" s="114"/>
      <c r="C41" s="50" t="s">
        <v>175</v>
      </c>
      <c r="D41" s="4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</row>
    <row r="42" spans="1:16" ht="18" customHeight="1">
      <c r="A42" s="46" t="s">
        <v>85</v>
      </c>
      <c r="B42" s="114"/>
      <c r="C42" s="50" t="s">
        <v>170</v>
      </c>
      <c r="D42" s="49" t="s">
        <v>701</v>
      </c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</row>
    <row r="43" spans="1:16" ht="18" customHeight="1">
      <c r="A43" s="46" t="s">
        <v>86</v>
      </c>
      <c r="B43" s="114"/>
      <c r="C43" s="50" t="s">
        <v>169</v>
      </c>
      <c r="D43" s="49" t="s">
        <v>703</v>
      </c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</row>
    <row r="44" spans="1:16" ht="18" customHeight="1">
      <c r="A44" s="46" t="s">
        <v>87</v>
      </c>
      <c r="B44" s="114"/>
      <c r="C44" s="50" t="s">
        <v>168</v>
      </c>
      <c r="D44" s="49" t="s">
        <v>704</v>
      </c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</row>
    <row r="45" spans="1:16" ht="18" customHeight="1">
      <c r="A45" s="46" t="s">
        <v>88</v>
      </c>
      <c r="B45" s="114" t="s">
        <v>3</v>
      </c>
      <c r="C45" s="50" t="s">
        <v>20</v>
      </c>
      <c r="D45" s="49" t="s">
        <v>706</v>
      </c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</row>
    <row r="46" spans="1:16" ht="18" customHeight="1">
      <c r="A46" s="46" t="s">
        <v>89</v>
      </c>
      <c r="B46" s="114"/>
      <c r="C46" s="50" t="s">
        <v>21</v>
      </c>
      <c r="D46" s="49" t="s">
        <v>705</v>
      </c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</row>
    <row r="47" spans="1:16" ht="18" customHeight="1">
      <c r="A47" s="46" t="s">
        <v>90</v>
      </c>
      <c r="B47" s="114"/>
      <c r="C47" s="50" t="s">
        <v>538</v>
      </c>
      <c r="D47" s="49" t="s">
        <v>707</v>
      </c>
      <c r="E47" s="39" t="s">
        <v>758</v>
      </c>
      <c r="F47" s="51" t="s">
        <v>767</v>
      </c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 spans="1:16" ht="18" customHeight="1">
      <c r="A48" s="46" t="s">
        <v>91</v>
      </c>
      <c r="B48" s="114"/>
      <c r="C48" s="50" t="s">
        <v>22</v>
      </c>
      <c r="D48" s="49" t="s">
        <v>708</v>
      </c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</row>
    <row r="49" spans="1:16" ht="18" customHeight="1">
      <c r="A49" s="46" t="s">
        <v>92</v>
      </c>
      <c r="B49" s="114"/>
      <c r="C49" s="50" t="s">
        <v>539</v>
      </c>
      <c r="D49" s="49" t="s">
        <v>709</v>
      </c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</row>
    <row r="50" spans="1:16" ht="18" customHeight="1">
      <c r="A50" s="46" t="s">
        <v>93</v>
      </c>
      <c r="B50" s="114"/>
      <c r="C50" s="50" t="s">
        <v>540</v>
      </c>
      <c r="D50" s="49" t="s">
        <v>710</v>
      </c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</row>
    <row r="51" spans="1:16" ht="18" customHeight="1">
      <c r="A51" s="46" t="s">
        <v>94</v>
      </c>
      <c r="B51" s="114"/>
      <c r="C51" s="50" t="s">
        <v>541</v>
      </c>
      <c r="D51" s="49" t="s">
        <v>711</v>
      </c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</row>
    <row r="52" spans="1:16" ht="18" customHeight="1">
      <c r="A52" s="46" t="s">
        <v>95</v>
      </c>
      <c r="B52" s="114"/>
      <c r="C52" s="50" t="s">
        <v>163</v>
      </c>
      <c r="D52" s="49" t="s">
        <v>712</v>
      </c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</row>
    <row r="53" spans="1:16" ht="18" customHeight="1">
      <c r="A53" s="46" t="s">
        <v>96</v>
      </c>
      <c r="B53" s="114"/>
      <c r="C53" s="50" t="s">
        <v>542</v>
      </c>
      <c r="D53" s="49" t="s">
        <v>713</v>
      </c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</row>
    <row r="54" spans="1:16" ht="18" customHeight="1">
      <c r="A54" s="46" t="s">
        <v>97</v>
      </c>
      <c r="B54" s="114"/>
      <c r="C54" s="50" t="s">
        <v>543</v>
      </c>
      <c r="D54" s="49" t="s">
        <v>714</v>
      </c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</row>
    <row r="55" spans="1:16" ht="18" customHeight="1">
      <c r="A55" s="46" t="s">
        <v>98</v>
      </c>
      <c r="B55" s="114"/>
      <c r="C55" s="50" t="s">
        <v>544</v>
      </c>
      <c r="D55" s="49" t="s">
        <v>748</v>
      </c>
      <c r="E55" s="39"/>
      <c r="F55" s="51" t="s">
        <v>768</v>
      </c>
      <c r="G55" s="39"/>
      <c r="H55" s="39"/>
      <c r="I55" s="39"/>
      <c r="J55" s="39"/>
      <c r="K55" s="39"/>
      <c r="L55" s="39"/>
      <c r="M55" s="39"/>
      <c r="N55" s="39"/>
      <c r="O55" s="39"/>
      <c r="P55" s="39"/>
    </row>
    <row r="56" spans="1:16" ht="64.5" customHeight="1">
      <c r="A56" s="46" t="s">
        <v>99</v>
      </c>
      <c r="B56" s="114"/>
      <c r="C56" s="50" t="s">
        <v>565</v>
      </c>
      <c r="D56" s="58" t="s">
        <v>715</v>
      </c>
      <c r="E56" s="59" t="s">
        <v>760</v>
      </c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</row>
    <row r="57" spans="1:16" ht="18" customHeight="1">
      <c r="A57" s="46" t="s">
        <v>100</v>
      </c>
      <c r="B57" s="114"/>
      <c r="C57" s="50" t="s">
        <v>566</v>
      </c>
      <c r="D57" s="49" t="s">
        <v>716</v>
      </c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</row>
    <row r="58" spans="1:16" ht="18" customHeight="1">
      <c r="A58" s="46" t="s">
        <v>101</v>
      </c>
      <c r="B58" s="114"/>
      <c r="C58" s="50" t="s">
        <v>31</v>
      </c>
      <c r="D58" s="49" t="s">
        <v>717</v>
      </c>
      <c r="E58" s="39" t="s">
        <v>761</v>
      </c>
      <c r="F58" s="51" t="s">
        <v>769</v>
      </c>
      <c r="G58" s="39"/>
      <c r="H58" s="39"/>
      <c r="I58" s="39"/>
      <c r="J58" s="39"/>
      <c r="K58" s="39"/>
      <c r="L58" s="39"/>
      <c r="M58" s="39"/>
      <c r="N58" s="39"/>
      <c r="O58" s="39"/>
      <c r="P58" s="39"/>
    </row>
    <row r="59" spans="1:16" ht="18" customHeight="1">
      <c r="A59" s="46" t="s">
        <v>102</v>
      </c>
      <c r="B59" s="114"/>
      <c r="C59" s="50" t="s">
        <v>567</v>
      </c>
      <c r="D59" s="49" t="s">
        <v>718</v>
      </c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</row>
    <row r="60" spans="1:16" ht="18" customHeight="1">
      <c r="A60" s="46" t="s">
        <v>103</v>
      </c>
      <c r="B60" s="114"/>
      <c r="C60" s="50" t="s">
        <v>568</v>
      </c>
      <c r="D60" s="49" t="s">
        <v>719</v>
      </c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</row>
    <row r="61" spans="1:16" ht="18" customHeight="1">
      <c r="A61" s="46" t="s">
        <v>104</v>
      </c>
      <c r="B61" s="114"/>
      <c r="C61" s="50" t="s">
        <v>569</v>
      </c>
      <c r="D61" s="49" t="s">
        <v>720</v>
      </c>
      <c r="E61" s="39"/>
      <c r="F61" s="51" t="s">
        <v>771</v>
      </c>
      <c r="G61" s="39"/>
      <c r="H61" s="39"/>
      <c r="I61" s="39"/>
      <c r="J61" s="39"/>
      <c r="K61" s="39"/>
      <c r="L61" s="39"/>
      <c r="M61" s="39"/>
      <c r="N61" s="39"/>
      <c r="O61" s="39"/>
      <c r="P61" s="39"/>
    </row>
    <row r="62" spans="1:16" ht="18" customHeight="1">
      <c r="A62" s="46" t="s">
        <v>105</v>
      </c>
      <c r="B62" s="114"/>
      <c r="C62" s="50" t="s">
        <v>570</v>
      </c>
      <c r="D62" s="49" t="s">
        <v>721</v>
      </c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</row>
    <row r="63" spans="1:16" ht="18" customHeight="1">
      <c r="A63" s="46" t="s">
        <v>106</v>
      </c>
      <c r="B63" s="114"/>
      <c r="C63" s="50" t="s">
        <v>565</v>
      </c>
      <c r="D63" s="49" t="s">
        <v>715</v>
      </c>
      <c r="E63" s="39" t="s">
        <v>762</v>
      </c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</row>
    <row r="64" spans="1:16" ht="18" customHeight="1">
      <c r="A64" s="46" t="s">
        <v>107</v>
      </c>
      <c r="B64" s="114"/>
      <c r="C64" s="50" t="s">
        <v>566</v>
      </c>
      <c r="D64" s="49" t="s">
        <v>716</v>
      </c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</row>
    <row r="65" spans="1:16" ht="18" customHeight="1">
      <c r="A65" s="46" t="s">
        <v>108</v>
      </c>
      <c r="B65" s="114"/>
      <c r="C65" s="50" t="s">
        <v>31</v>
      </c>
      <c r="D65" s="49" t="s">
        <v>717</v>
      </c>
      <c r="E65" s="39" t="s">
        <v>763</v>
      </c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</row>
    <row r="66" spans="1:16" ht="18" customHeight="1">
      <c r="A66" s="46" t="s">
        <v>109</v>
      </c>
      <c r="B66" s="114"/>
      <c r="C66" s="50" t="s">
        <v>567</v>
      </c>
      <c r="D66" s="49" t="s">
        <v>718</v>
      </c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</row>
    <row r="67" spans="1:16" ht="18" customHeight="1">
      <c r="A67" s="46" t="s">
        <v>110</v>
      </c>
      <c r="B67" s="114"/>
      <c r="C67" s="50" t="s">
        <v>568</v>
      </c>
      <c r="D67" s="49" t="s">
        <v>719</v>
      </c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</row>
    <row r="68" spans="1:16" ht="18" customHeight="1">
      <c r="A68" s="46" t="s">
        <v>111</v>
      </c>
      <c r="B68" s="114"/>
      <c r="C68" s="50" t="s">
        <v>569</v>
      </c>
      <c r="D68" s="49" t="s">
        <v>720</v>
      </c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</row>
    <row r="69" spans="1:16" ht="18" customHeight="1">
      <c r="A69" s="46" t="s">
        <v>112</v>
      </c>
      <c r="B69" s="114"/>
      <c r="C69" s="50" t="s">
        <v>570</v>
      </c>
      <c r="D69" s="49" t="s">
        <v>721</v>
      </c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</row>
    <row r="70" spans="1:16" ht="18" customHeight="1">
      <c r="A70" s="46" t="s">
        <v>113</v>
      </c>
      <c r="B70" s="114"/>
      <c r="C70" s="50" t="s">
        <v>565</v>
      </c>
      <c r="D70" s="49" t="s">
        <v>715</v>
      </c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</row>
    <row r="71" spans="1:16" ht="18" customHeight="1">
      <c r="A71" s="46" t="s">
        <v>114</v>
      </c>
      <c r="B71" s="114"/>
      <c r="C71" s="50" t="s">
        <v>566</v>
      </c>
      <c r="D71" s="49" t="s">
        <v>716</v>
      </c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</row>
    <row r="72" spans="1:16" ht="18" customHeight="1">
      <c r="A72" s="46" t="s">
        <v>115</v>
      </c>
      <c r="B72" s="114"/>
      <c r="C72" s="50" t="s">
        <v>31</v>
      </c>
      <c r="D72" s="49" t="s">
        <v>717</v>
      </c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 spans="1:16" ht="18" customHeight="1">
      <c r="A73" s="46" t="s">
        <v>116</v>
      </c>
      <c r="B73" s="114"/>
      <c r="C73" s="50" t="s">
        <v>567</v>
      </c>
      <c r="D73" s="49" t="s">
        <v>718</v>
      </c>
      <c r="E73" s="39" t="s">
        <v>750</v>
      </c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</row>
    <row r="74" spans="1:16" ht="18" customHeight="1">
      <c r="A74" s="46" t="s">
        <v>117</v>
      </c>
      <c r="B74" s="114"/>
      <c r="C74" s="50" t="s">
        <v>568</v>
      </c>
      <c r="D74" s="49" t="s">
        <v>719</v>
      </c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</row>
    <row r="75" spans="1:16" ht="18" customHeight="1">
      <c r="A75" s="46" t="s">
        <v>118</v>
      </c>
      <c r="B75" s="114"/>
      <c r="C75" s="50" t="s">
        <v>569</v>
      </c>
      <c r="D75" s="49" t="s">
        <v>720</v>
      </c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</row>
    <row r="76" spans="1:16" ht="18" customHeight="1">
      <c r="A76" s="46" t="s">
        <v>119</v>
      </c>
      <c r="B76" s="114"/>
      <c r="C76" s="50" t="s">
        <v>570</v>
      </c>
      <c r="D76" s="49" t="s">
        <v>721</v>
      </c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</row>
    <row r="77" spans="1:16" ht="18" customHeight="1">
      <c r="A77" s="46" t="s">
        <v>120</v>
      </c>
      <c r="B77" s="114"/>
      <c r="C77" s="50" t="s">
        <v>565</v>
      </c>
      <c r="D77" s="49" t="s">
        <v>715</v>
      </c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</row>
    <row r="78" spans="1:16" ht="18" customHeight="1">
      <c r="A78" s="46" t="s">
        <v>121</v>
      </c>
      <c r="B78" s="114"/>
      <c r="C78" s="50" t="s">
        <v>566</v>
      </c>
      <c r="D78" s="49" t="s">
        <v>716</v>
      </c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</row>
    <row r="79" spans="1:16" ht="18" customHeight="1">
      <c r="A79" s="46" t="s">
        <v>122</v>
      </c>
      <c r="B79" s="114"/>
      <c r="C79" s="50" t="s">
        <v>31</v>
      </c>
      <c r="D79" s="49" t="s">
        <v>717</v>
      </c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</row>
    <row r="80" spans="1:16" ht="18" customHeight="1">
      <c r="A80" s="46" t="s">
        <v>123</v>
      </c>
      <c r="B80" s="114"/>
      <c r="C80" s="50" t="s">
        <v>567</v>
      </c>
      <c r="D80" s="49" t="s">
        <v>718</v>
      </c>
      <c r="E80" s="39" t="s">
        <v>750</v>
      </c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</row>
    <row r="81" spans="1:16" ht="18" customHeight="1">
      <c r="A81" s="46" t="s">
        <v>124</v>
      </c>
      <c r="B81" s="114"/>
      <c r="C81" s="50" t="s">
        <v>568</v>
      </c>
      <c r="D81" s="49" t="s">
        <v>719</v>
      </c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</row>
    <row r="82" spans="1:16" ht="18" customHeight="1">
      <c r="A82" s="46" t="s">
        <v>125</v>
      </c>
      <c r="B82" s="114"/>
      <c r="C82" s="50" t="s">
        <v>569</v>
      </c>
      <c r="D82" s="49" t="s">
        <v>720</v>
      </c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</row>
    <row r="83" spans="1:16" ht="18" customHeight="1">
      <c r="A83" s="46" t="s">
        <v>126</v>
      </c>
      <c r="B83" s="114"/>
      <c r="C83" s="50" t="s">
        <v>570</v>
      </c>
      <c r="D83" s="49" t="s">
        <v>721</v>
      </c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</row>
    <row r="84" spans="1:16" ht="18" customHeight="1">
      <c r="A84" s="46" t="s">
        <v>127</v>
      </c>
      <c r="B84" s="114"/>
      <c r="C84" s="50" t="s">
        <v>571</v>
      </c>
      <c r="D84" s="115" t="s">
        <v>722</v>
      </c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</row>
    <row r="85" spans="1:16" ht="18" customHeight="1">
      <c r="A85" s="46" t="s">
        <v>128</v>
      </c>
      <c r="B85" s="114"/>
      <c r="C85" s="50" t="s">
        <v>572</v>
      </c>
      <c r="D85" s="116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</row>
    <row r="86" spans="1:16" ht="18" customHeight="1">
      <c r="A86" s="46" t="s">
        <v>129</v>
      </c>
      <c r="B86" s="114"/>
      <c r="C86" s="50" t="s">
        <v>573</v>
      </c>
      <c r="D86" s="116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</row>
    <row r="87" spans="1:16" ht="18" customHeight="1">
      <c r="A87" s="46" t="s">
        <v>130</v>
      </c>
      <c r="B87" s="114"/>
      <c r="C87" s="50" t="s">
        <v>574</v>
      </c>
      <c r="D87" s="117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</row>
    <row r="88" spans="1:16" ht="18" customHeight="1">
      <c r="A88" s="46" t="s">
        <v>131</v>
      </c>
      <c r="B88" s="114"/>
      <c r="C88" s="50" t="s">
        <v>181</v>
      </c>
      <c r="D88" s="49" t="s">
        <v>698</v>
      </c>
      <c r="E88" s="57" t="s">
        <v>770</v>
      </c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</row>
    <row r="89" spans="1:16" ht="18" customHeight="1">
      <c r="A89" s="46" t="s">
        <v>132</v>
      </c>
      <c r="B89" s="114"/>
      <c r="C89" s="50" t="s">
        <v>161</v>
      </c>
      <c r="D89" s="49" t="s">
        <v>697</v>
      </c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</row>
    <row r="90" spans="1:16" ht="18" customHeight="1">
      <c r="A90" s="46" t="s">
        <v>133</v>
      </c>
      <c r="B90" s="114"/>
      <c r="C90" s="50" t="s">
        <v>162</v>
      </c>
      <c r="D90" s="49" t="s">
        <v>699</v>
      </c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</row>
    <row r="91" spans="1:16" ht="18" customHeight="1">
      <c r="A91" s="46" t="s">
        <v>134</v>
      </c>
      <c r="B91" s="114"/>
      <c r="C91" s="50" t="s">
        <v>648</v>
      </c>
      <c r="D91" s="49" t="s">
        <v>702</v>
      </c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</row>
    <row r="92" spans="1:16" ht="18" customHeight="1">
      <c r="A92" s="46" t="s">
        <v>135</v>
      </c>
      <c r="B92" s="114"/>
      <c r="C92" s="50" t="s">
        <v>175</v>
      </c>
      <c r="D92" s="4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</row>
    <row r="93" spans="1:16" ht="18" customHeight="1">
      <c r="A93" s="46" t="s">
        <v>136</v>
      </c>
      <c r="B93" s="114"/>
      <c r="C93" s="50" t="s">
        <v>5</v>
      </c>
      <c r="D93" s="49" t="s">
        <v>723</v>
      </c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</row>
    <row r="94" spans="1:16" ht="18" customHeight="1">
      <c r="A94" s="46" t="s">
        <v>137</v>
      </c>
      <c r="B94" s="114"/>
      <c r="C94" s="50" t="s">
        <v>551</v>
      </c>
      <c r="D94" s="49" t="s">
        <v>724</v>
      </c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</row>
    <row r="95" spans="1:16" ht="52.95" customHeight="1">
      <c r="A95" s="46" t="s">
        <v>138</v>
      </c>
      <c r="B95" s="114"/>
      <c r="C95" s="50" t="s">
        <v>552</v>
      </c>
      <c r="D95" s="60" t="s">
        <v>765</v>
      </c>
      <c r="E95" s="61" t="s">
        <v>764</v>
      </c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</row>
    <row r="96" spans="1:16" ht="18" customHeight="1">
      <c r="A96" s="46" t="s">
        <v>139</v>
      </c>
      <c r="B96" s="114"/>
      <c r="C96" s="50" t="s">
        <v>178</v>
      </c>
      <c r="D96" s="49" t="s">
        <v>725</v>
      </c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</row>
    <row r="97" spans="1:16" ht="18" customHeight="1">
      <c r="A97" s="46" t="s">
        <v>140</v>
      </c>
      <c r="B97" s="111" t="s">
        <v>4</v>
      </c>
      <c r="C97" s="50" t="s">
        <v>160</v>
      </c>
      <c r="D97" s="4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</row>
    <row r="98" spans="1:16" ht="18" customHeight="1">
      <c r="A98" s="46" t="s">
        <v>141</v>
      </c>
      <c r="B98" s="111"/>
      <c r="C98" s="50" t="s">
        <v>24</v>
      </c>
      <c r="D98" s="49" t="s">
        <v>726</v>
      </c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</row>
    <row r="99" spans="1:16" ht="18" customHeight="1">
      <c r="A99" s="46" t="s">
        <v>142</v>
      </c>
      <c r="B99" s="111"/>
      <c r="C99" s="50" t="s">
        <v>179</v>
      </c>
      <c r="D99" s="49" t="s">
        <v>728</v>
      </c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</row>
    <row r="100" spans="1:16" ht="18" customHeight="1">
      <c r="A100" s="46" t="s">
        <v>143</v>
      </c>
      <c r="B100" s="111"/>
      <c r="C100" s="50" t="s">
        <v>171</v>
      </c>
      <c r="D100" s="49" t="s">
        <v>727</v>
      </c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</row>
    <row r="101" spans="1:16" ht="18" customHeight="1">
      <c r="A101" s="46" t="s">
        <v>144</v>
      </c>
      <c r="B101" s="111"/>
      <c r="C101" s="50" t="s">
        <v>25</v>
      </c>
      <c r="D101" s="49" t="s">
        <v>729</v>
      </c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</row>
    <row r="102" spans="1:16" ht="18" customHeight="1">
      <c r="A102" s="46" t="s">
        <v>145</v>
      </c>
      <c r="B102" s="111"/>
      <c r="C102" s="50" t="s">
        <v>180</v>
      </c>
      <c r="D102" s="49" t="s">
        <v>730</v>
      </c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</row>
    <row r="103" spans="1:16" ht="18" customHeight="1">
      <c r="A103" s="46" t="s">
        <v>146</v>
      </c>
      <c r="B103" s="111"/>
      <c r="C103" s="50" t="s">
        <v>173</v>
      </c>
      <c r="D103" s="49" t="s">
        <v>731</v>
      </c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</row>
    <row r="104" spans="1:16" ht="18" customHeight="1">
      <c r="A104" s="46" t="s">
        <v>158</v>
      </c>
      <c r="B104" s="111"/>
      <c r="C104" s="50" t="s">
        <v>26</v>
      </c>
      <c r="D104" s="49" t="s">
        <v>732</v>
      </c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</row>
    <row r="105" spans="1:16" ht="18" customHeight="1">
      <c r="A105" s="46" t="s">
        <v>159</v>
      </c>
      <c r="B105" s="111"/>
      <c r="C105" s="50" t="s">
        <v>27</v>
      </c>
      <c r="D105" s="4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</row>
    <row r="106" spans="1:16" ht="18" customHeight="1">
      <c r="A106" s="46" t="s">
        <v>148</v>
      </c>
      <c r="B106" s="111"/>
      <c r="C106" s="50" t="s">
        <v>172</v>
      </c>
      <c r="D106" s="4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</row>
    <row r="107" spans="1:16" ht="18" customHeight="1">
      <c r="A107" s="46" t="s">
        <v>147</v>
      </c>
      <c r="B107" s="111"/>
      <c r="C107" s="50" t="s">
        <v>28</v>
      </c>
      <c r="D107" s="115" t="s">
        <v>733</v>
      </c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</row>
    <row r="108" spans="1:16" ht="18" customHeight="1">
      <c r="A108" s="46" t="s">
        <v>149</v>
      </c>
      <c r="B108" s="111"/>
      <c r="C108" s="50" t="s">
        <v>29</v>
      </c>
      <c r="D108" s="117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</row>
    <row r="109" spans="1:16" ht="18" customHeight="1">
      <c r="A109" s="46" t="s">
        <v>153</v>
      </c>
      <c r="B109" s="111"/>
      <c r="C109" s="50" t="s">
        <v>30</v>
      </c>
      <c r="D109" s="49" t="s">
        <v>734</v>
      </c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</row>
    <row r="110" spans="1:16" ht="18" customHeight="1">
      <c r="A110" s="46" t="s">
        <v>154</v>
      </c>
      <c r="B110" s="111"/>
      <c r="C110" s="50" t="s">
        <v>31</v>
      </c>
      <c r="D110" s="49" t="s">
        <v>735</v>
      </c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</row>
    <row r="111" spans="1:16" ht="18" customHeight="1">
      <c r="A111" s="46" t="s">
        <v>155</v>
      </c>
      <c r="B111" s="111"/>
      <c r="C111" s="50" t="s">
        <v>32</v>
      </c>
      <c r="D111" s="115" t="s">
        <v>736</v>
      </c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</row>
    <row r="112" spans="1:16" ht="18" customHeight="1">
      <c r="A112" s="46" t="s">
        <v>156</v>
      </c>
      <c r="B112" s="111"/>
      <c r="C112" s="50" t="s">
        <v>33</v>
      </c>
      <c r="D112" s="116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</row>
    <row r="113" spans="1:16" ht="18" customHeight="1">
      <c r="A113" s="46" t="s">
        <v>152</v>
      </c>
      <c r="B113" s="111"/>
      <c r="C113" s="50" t="s">
        <v>34</v>
      </c>
      <c r="D113" s="116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</row>
    <row r="114" spans="1:16" ht="18" customHeight="1">
      <c r="A114" s="46" t="s">
        <v>157</v>
      </c>
      <c r="B114" s="111"/>
      <c r="C114" s="50" t="s">
        <v>35</v>
      </c>
      <c r="D114" s="117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</row>
    <row r="115" spans="1:16" ht="18" customHeight="1">
      <c r="A115" s="46" t="s">
        <v>151</v>
      </c>
      <c r="B115" s="111"/>
      <c r="C115" s="50" t="s">
        <v>657</v>
      </c>
      <c r="D115" s="49" t="s">
        <v>737</v>
      </c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</row>
    <row r="116" spans="1:16" ht="18" customHeight="1">
      <c r="A116" s="46" t="s">
        <v>150</v>
      </c>
      <c r="B116" s="111"/>
      <c r="C116" s="50" t="s">
        <v>36</v>
      </c>
      <c r="D116" s="49" t="s">
        <v>734</v>
      </c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</row>
    <row r="117" spans="1:16" ht="18" customHeight="1">
      <c r="A117" s="46" t="s">
        <v>587</v>
      </c>
      <c r="B117" s="111"/>
      <c r="C117" s="50" t="s">
        <v>37</v>
      </c>
      <c r="D117" s="115" t="s">
        <v>738</v>
      </c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</row>
    <row r="118" spans="1:16" ht="18" customHeight="1">
      <c r="A118" s="46" t="s">
        <v>588</v>
      </c>
      <c r="B118" s="111"/>
      <c r="C118" s="50" t="s">
        <v>38</v>
      </c>
      <c r="D118" s="116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</row>
    <row r="119" spans="1:16" ht="18" customHeight="1">
      <c r="A119" s="46" t="s">
        <v>589</v>
      </c>
      <c r="B119" s="111"/>
      <c r="C119" s="50" t="s">
        <v>39</v>
      </c>
      <c r="D119" s="116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</row>
    <row r="120" spans="1:16" ht="18" customHeight="1">
      <c r="A120" s="46" t="s">
        <v>590</v>
      </c>
      <c r="B120" s="111"/>
      <c r="C120" s="50" t="s">
        <v>164</v>
      </c>
      <c r="D120" s="116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</row>
    <row r="121" spans="1:16" ht="18" customHeight="1">
      <c r="A121" s="46" t="s">
        <v>591</v>
      </c>
      <c r="B121" s="111"/>
      <c r="C121" s="50" t="s">
        <v>972</v>
      </c>
      <c r="D121" s="116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</row>
    <row r="122" spans="1:16" ht="18" customHeight="1">
      <c r="A122" s="46" t="s">
        <v>592</v>
      </c>
      <c r="B122" s="111"/>
      <c r="C122" s="50" t="s">
        <v>654</v>
      </c>
      <c r="D122" s="116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</row>
    <row r="123" spans="1:16" ht="18" customHeight="1">
      <c r="A123" s="46" t="s">
        <v>593</v>
      </c>
      <c r="B123" s="111"/>
      <c r="C123" s="50" t="s">
        <v>653</v>
      </c>
      <c r="D123" s="116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</row>
    <row r="124" spans="1:16" ht="18" customHeight="1">
      <c r="A124" s="46" t="s">
        <v>594</v>
      </c>
      <c r="B124" s="111"/>
      <c r="C124" s="50" t="s">
        <v>33</v>
      </c>
      <c r="D124" s="116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</row>
    <row r="125" spans="1:16" ht="18" customHeight="1">
      <c r="A125" s="46" t="s">
        <v>595</v>
      </c>
      <c r="B125" s="111"/>
      <c r="C125" s="50" t="s">
        <v>34</v>
      </c>
      <c r="D125" s="116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</row>
    <row r="126" spans="1:16" ht="18" customHeight="1">
      <c r="A126" s="46" t="s">
        <v>596</v>
      </c>
      <c r="B126" s="111"/>
      <c r="C126" s="50" t="s">
        <v>35</v>
      </c>
      <c r="D126" s="116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</row>
    <row r="127" spans="1:16" ht="18" customHeight="1">
      <c r="A127" s="46" t="s">
        <v>597</v>
      </c>
      <c r="B127" s="111"/>
      <c r="C127" s="50" t="s">
        <v>654</v>
      </c>
      <c r="D127" s="116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</row>
    <row r="128" spans="1:16" ht="18" customHeight="1">
      <c r="A128" s="46" t="s">
        <v>598</v>
      </c>
      <c r="B128" s="111"/>
      <c r="C128" s="50" t="s">
        <v>653</v>
      </c>
      <c r="D128" s="116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</row>
    <row r="129" spans="1:16" ht="18" customHeight="1">
      <c r="A129" s="46" t="s">
        <v>599</v>
      </c>
      <c r="B129" s="111"/>
      <c r="C129" s="50" t="s">
        <v>656</v>
      </c>
      <c r="D129" s="116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</row>
    <row r="130" spans="1:16" ht="18" customHeight="1">
      <c r="A130" s="46" t="s">
        <v>600</v>
      </c>
      <c r="B130" s="111"/>
      <c r="C130" s="50" t="s">
        <v>34</v>
      </c>
      <c r="D130" s="116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</row>
    <row r="131" spans="1:16" ht="18" customHeight="1">
      <c r="A131" s="46" t="s">
        <v>601</v>
      </c>
      <c r="B131" s="111"/>
      <c r="C131" s="50" t="s">
        <v>35</v>
      </c>
      <c r="D131" s="117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</row>
    <row r="132" spans="1:16" ht="18" customHeight="1">
      <c r="A132" s="46" t="s">
        <v>602</v>
      </c>
      <c r="B132" s="111" t="s">
        <v>535</v>
      </c>
      <c r="C132" s="50" t="s">
        <v>575</v>
      </c>
      <c r="D132" s="115" t="s">
        <v>739</v>
      </c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</row>
    <row r="133" spans="1:16" ht="18" customHeight="1">
      <c r="A133" s="46" t="s">
        <v>603</v>
      </c>
      <c r="B133" s="111"/>
      <c r="C133" s="50" t="s">
        <v>576</v>
      </c>
      <c r="D133" s="116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</row>
    <row r="134" spans="1:16" ht="18" customHeight="1">
      <c r="A134" s="46" t="s">
        <v>604</v>
      </c>
      <c r="B134" s="111"/>
      <c r="C134" s="50" t="s">
        <v>40</v>
      </c>
      <c r="D134" s="116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</row>
    <row r="135" spans="1:16" ht="18" customHeight="1">
      <c r="A135" s="46" t="s">
        <v>605</v>
      </c>
      <c r="B135" s="111"/>
      <c r="C135" s="50" t="s">
        <v>41</v>
      </c>
      <c r="D135" s="116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</row>
    <row r="136" spans="1:16" ht="18" customHeight="1">
      <c r="A136" s="46" t="s">
        <v>606</v>
      </c>
      <c r="B136" s="111"/>
      <c r="C136" s="50" t="s">
        <v>42</v>
      </c>
      <c r="D136" s="116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</row>
    <row r="137" spans="1:16" ht="18" customHeight="1">
      <c r="A137" s="46" t="s">
        <v>607</v>
      </c>
      <c r="B137" s="111"/>
      <c r="C137" s="50" t="s">
        <v>43</v>
      </c>
      <c r="D137" s="116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</row>
    <row r="138" spans="1:16" ht="18" customHeight="1">
      <c r="A138" s="46" t="s">
        <v>608</v>
      </c>
      <c r="B138" s="111"/>
      <c r="C138" s="50" t="s">
        <v>550</v>
      </c>
      <c r="D138" s="116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</row>
    <row r="139" spans="1:16" ht="18" customHeight="1">
      <c r="A139" s="46" t="s">
        <v>609</v>
      </c>
      <c r="B139" s="111"/>
      <c r="C139" s="50" t="s">
        <v>44</v>
      </c>
      <c r="D139" s="117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</row>
    <row r="140" spans="1:16" ht="18" customHeight="1">
      <c r="A140" s="46" t="s">
        <v>610</v>
      </c>
      <c r="B140" s="111"/>
      <c r="C140" s="50" t="s">
        <v>577</v>
      </c>
      <c r="D140" s="115" t="s">
        <v>740</v>
      </c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</row>
    <row r="141" spans="1:16" ht="18" customHeight="1">
      <c r="A141" s="46" t="s">
        <v>611</v>
      </c>
      <c r="B141" s="111"/>
      <c r="C141" s="50" t="s">
        <v>550</v>
      </c>
      <c r="D141" s="116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</row>
    <row r="142" spans="1:16" ht="18" customHeight="1">
      <c r="A142" s="46" t="s">
        <v>612</v>
      </c>
      <c r="B142" s="111"/>
      <c r="C142" s="50" t="s">
        <v>578</v>
      </c>
      <c r="D142" s="116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</row>
    <row r="143" spans="1:16" ht="18" customHeight="1">
      <c r="A143" s="46" t="s">
        <v>613</v>
      </c>
      <c r="B143" s="111"/>
      <c r="C143" s="50" t="s">
        <v>650</v>
      </c>
      <c r="D143" s="116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</row>
    <row r="144" spans="1:16" ht="18" customHeight="1">
      <c r="A144" s="46" t="s">
        <v>614</v>
      </c>
      <c r="B144" s="111"/>
      <c r="C144" s="50" t="s">
        <v>575</v>
      </c>
      <c r="D144" s="116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</row>
    <row r="145" spans="1:16" ht="18" customHeight="1">
      <c r="A145" s="46" t="s">
        <v>615</v>
      </c>
      <c r="B145" s="111"/>
      <c r="C145" s="50" t="s">
        <v>576</v>
      </c>
      <c r="D145" s="116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</row>
    <row r="146" spans="1:16" ht="18" customHeight="1">
      <c r="A146" s="46" t="s">
        <v>616</v>
      </c>
      <c r="B146" s="111"/>
      <c r="C146" s="50" t="s">
        <v>40</v>
      </c>
      <c r="D146" s="116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</row>
    <row r="147" spans="1:16" ht="18" customHeight="1">
      <c r="A147" s="46" t="s">
        <v>617</v>
      </c>
      <c r="B147" s="111"/>
      <c r="C147" s="50" t="s">
        <v>41</v>
      </c>
      <c r="D147" s="116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</row>
    <row r="148" spans="1:16" ht="18" customHeight="1">
      <c r="A148" s="46" t="s">
        <v>618</v>
      </c>
      <c r="B148" s="111"/>
      <c r="C148" s="50" t="s">
        <v>42</v>
      </c>
      <c r="D148" s="116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</row>
    <row r="149" spans="1:16" ht="18" customHeight="1">
      <c r="A149" s="46" t="s">
        <v>619</v>
      </c>
      <c r="B149" s="111"/>
      <c r="C149" s="50" t="s">
        <v>45</v>
      </c>
      <c r="D149" s="116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</row>
    <row r="150" spans="1:16" ht="18" customHeight="1">
      <c r="A150" s="46" t="s">
        <v>620</v>
      </c>
      <c r="B150" s="111"/>
      <c r="C150" s="50" t="s">
        <v>23</v>
      </c>
      <c r="D150" s="116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</row>
    <row r="151" spans="1:16" ht="18" customHeight="1">
      <c r="A151" s="46" t="s">
        <v>621</v>
      </c>
      <c r="B151" s="111"/>
      <c r="C151" s="50" t="s">
        <v>44</v>
      </c>
      <c r="D151" s="116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</row>
    <row r="152" spans="1:16" ht="18" customHeight="1">
      <c r="A152" s="46" t="s">
        <v>622</v>
      </c>
      <c r="B152" s="111"/>
      <c r="C152" s="50" t="s">
        <v>43</v>
      </c>
      <c r="D152" s="117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</row>
    <row r="153" spans="1:16" ht="18" customHeight="1">
      <c r="A153" s="46" t="s">
        <v>623</v>
      </c>
      <c r="B153" s="111"/>
      <c r="C153" s="50" t="s">
        <v>577</v>
      </c>
      <c r="D153" s="115" t="s">
        <v>741</v>
      </c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</row>
    <row r="154" spans="1:16" ht="18" customHeight="1">
      <c r="A154" s="46" t="s">
        <v>624</v>
      </c>
      <c r="B154" s="111"/>
      <c r="C154" s="50" t="s">
        <v>579</v>
      </c>
      <c r="D154" s="116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</row>
    <row r="155" spans="1:16" ht="18" customHeight="1">
      <c r="A155" s="46" t="s">
        <v>625</v>
      </c>
      <c r="B155" s="111"/>
      <c r="C155" s="50" t="s">
        <v>580</v>
      </c>
      <c r="D155" s="116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</row>
    <row r="156" spans="1:16" ht="18" customHeight="1">
      <c r="A156" s="46" t="s">
        <v>626</v>
      </c>
      <c r="B156" s="111"/>
      <c r="C156" s="50" t="s">
        <v>581</v>
      </c>
      <c r="D156" s="116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</row>
    <row r="157" spans="1:16" ht="18" customHeight="1">
      <c r="A157" s="46" t="s">
        <v>627</v>
      </c>
      <c r="B157" s="111"/>
      <c r="C157" s="50" t="s">
        <v>582</v>
      </c>
      <c r="D157" s="116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</row>
    <row r="158" spans="1:16" ht="18" customHeight="1">
      <c r="A158" s="46" t="s">
        <v>628</v>
      </c>
      <c r="B158" s="111"/>
      <c r="C158" s="50" t="s">
        <v>45</v>
      </c>
      <c r="D158" s="116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</row>
    <row r="159" spans="1:16" ht="18" customHeight="1">
      <c r="A159" s="46" t="s">
        <v>629</v>
      </c>
      <c r="B159" s="111"/>
      <c r="C159" s="50" t="s">
        <v>23</v>
      </c>
      <c r="D159" s="116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</row>
    <row r="160" spans="1:16" ht="18" customHeight="1">
      <c r="A160" s="46" t="s">
        <v>630</v>
      </c>
      <c r="B160" s="111"/>
      <c r="C160" s="50" t="s">
        <v>44</v>
      </c>
      <c r="D160" s="117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</row>
    <row r="161" spans="1:16" ht="18" customHeight="1">
      <c r="A161" s="46" t="s">
        <v>631</v>
      </c>
      <c r="B161" s="111"/>
      <c r="C161" s="50" t="s">
        <v>583</v>
      </c>
      <c r="D161" s="115" t="s">
        <v>742</v>
      </c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</row>
    <row r="162" spans="1:16" ht="18" customHeight="1">
      <c r="A162" s="46" t="s">
        <v>632</v>
      </c>
      <c r="B162" s="111"/>
      <c r="C162" s="50" t="s">
        <v>584</v>
      </c>
      <c r="D162" s="116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</row>
    <row r="163" spans="1:16" ht="18" customHeight="1">
      <c r="A163" s="46" t="s">
        <v>633</v>
      </c>
      <c r="B163" s="111"/>
      <c r="C163" s="50" t="s">
        <v>31</v>
      </c>
      <c r="D163" s="117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</row>
    <row r="164" spans="1:16" ht="18" customHeight="1">
      <c r="A164" s="46" t="s">
        <v>634</v>
      </c>
      <c r="B164" s="111"/>
      <c r="C164" s="50" t="s">
        <v>585</v>
      </c>
      <c r="D164" s="115" t="s">
        <v>743</v>
      </c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</row>
    <row r="165" spans="1:16" ht="18" customHeight="1">
      <c r="A165" s="46" t="s">
        <v>635</v>
      </c>
      <c r="B165" s="111"/>
      <c r="C165" s="50" t="s">
        <v>586</v>
      </c>
      <c r="D165" s="116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</row>
    <row r="166" spans="1:16" ht="18" customHeight="1">
      <c r="A166" s="46" t="s">
        <v>636</v>
      </c>
      <c r="B166" s="111"/>
      <c r="C166" s="50" t="s">
        <v>31</v>
      </c>
      <c r="D166" s="117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</row>
    <row r="167" spans="1:16" ht="18" customHeight="1">
      <c r="A167" s="46" t="s">
        <v>637</v>
      </c>
      <c r="B167" s="111" t="s">
        <v>536</v>
      </c>
      <c r="C167" s="50" t="s">
        <v>559</v>
      </c>
      <c r="D167" s="115" t="s">
        <v>744</v>
      </c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</row>
    <row r="168" spans="1:16" ht="18" customHeight="1">
      <c r="A168" s="46" t="s">
        <v>638</v>
      </c>
      <c r="B168" s="111"/>
      <c r="C168" s="50" t="s">
        <v>20</v>
      </c>
      <c r="D168" s="116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</row>
    <row r="169" spans="1:16" ht="18" customHeight="1">
      <c r="A169" s="46" t="s">
        <v>639</v>
      </c>
      <c r="B169" s="111"/>
      <c r="C169" s="50" t="s">
        <v>31</v>
      </c>
      <c r="D169" s="116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</row>
    <row r="170" spans="1:16" ht="18" customHeight="1">
      <c r="A170" s="46" t="s">
        <v>640</v>
      </c>
      <c r="B170" s="111"/>
      <c r="C170" s="50" t="s">
        <v>560</v>
      </c>
      <c r="D170" s="116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</row>
    <row r="171" spans="1:16" ht="18" customHeight="1">
      <c r="A171" s="46" t="s">
        <v>641</v>
      </c>
      <c r="B171" s="111"/>
      <c r="C171" s="50" t="s">
        <v>561</v>
      </c>
      <c r="D171" s="116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</row>
    <row r="172" spans="1:16" ht="18" customHeight="1">
      <c r="A172" s="46" t="s">
        <v>658</v>
      </c>
      <c r="B172" s="111"/>
      <c r="C172" s="50" t="s">
        <v>562</v>
      </c>
      <c r="D172" s="116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</row>
    <row r="173" spans="1:16" ht="18" customHeight="1">
      <c r="A173" s="46" t="s">
        <v>659</v>
      </c>
      <c r="B173" s="111"/>
      <c r="C173" s="50" t="s">
        <v>563</v>
      </c>
      <c r="D173" s="116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</row>
    <row r="174" spans="1:16" ht="18" customHeight="1">
      <c r="A174" s="46" t="s">
        <v>660</v>
      </c>
      <c r="B174" s="111"/>
      <c r="C174" s="50" t="s">
        <v>24</v>
      </c>
      <c r="D174" s="116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</row>
    <row r="175" spans="1:16" ht="18" customHeight="1">
      <c r="A175" s="46" t="s">
        <v>661</v>
      </c>
      <c r="B175" s="111"/>
      <c r="C175" s="50" t="s">
        <v>16</v>
      </c>
      <c r="D175" s="116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</row>
    <row r="176" spans="1:16" ht="18" customHeight="1">
      <c r="A176" s="46" t="s">
        <v>662</v>
      </c>
      <c r="B176" s="111"/>
      <c r="C176" s="50" t="s">
        <v>564</v>
      </c>
      <c r="D176" s="117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</row>
    <row r="177" spans="1:16" ht="18" customHeight="1">
      <c r="A177" s="46" t="s">
        <v>663</v>
      </c>
      <c r="B177" s="111" t="s">
        <v>520</v>
      </c>
      <c r="C177" s="62" t="s">
        <v>527</v>
      </c>
      <c r="D177" s="4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</row>
    <row r="178" spans="1:16" ht="18" customHeight="1">
      <c r="A178" s="46" t="s">
        <v>664</v>
      </c>
      <c r="B178" s="111"/>
      <c r="C178" s="62" t="s">
        <v>519</v>
      </c>
      <c r="D178" s="4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</row>
    <row r="179" spans="1:16" ht="18" customHeight="1">
      <c r="A179" s="46" t="s">
        <v>665</v>
      </c>
      <c r="B179" s="111"/>
      <c r="C179" s="62" t="s">
        <v>528</v>
      </c>
      <c r="D179" s="4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</row>
    <row r="180" spans="1:16" ht="18" customHeight="1">
      <c r="A180" s="46" t="s">
        <v>666</v>
      </c>
      <c r="B180" s="111"/>
      <c r="C180" s="62" t="s">
        <v>518</v>
      </c>
      <c r="D180" s="4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</row>
    <row r="181" spans="1:16" ht="18" customHeight="1">
      <c r="A181" s="46" t="s">
        <v>667</v>
      </c>
      <c r="B181" s="111"/>
      <c r="C181" s="50" t="s">
        <v>523</v>
      </c>
      <c r="D181" s="49" t="s">
        <v>751</v>
      </c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</row>
    <row r="182" spans="1:16" ht="18" customHeight="1">
      <c r="A182" s="46" t="s">
        <v>668</v>
      </c>
      <c r="B182" s="111" t="s">
        <v>521</v>
      </c>
      <c r="C182" s="62" t="s">
        <v>524</v>
      </c>
      <c r="D182" s="4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</row>
    <row r="183" spans="1:16" ht="18" customHeight="1">
      <c r="A183" s="46" t="s">
        <v>669</v>
      </c>
      <c r="B183" s="111"/>
      <c r="C183" s="62" t="s">
        <v>525</v>
      </c>
      <c r="D183" s="4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</row>
    <row r="184" spans="1:16" ht="18" customHeight="1">
      <c r="A184" s="46" t="s">
        <v>670</v>
      </c>
      <c r="B184" s="111"/>
      <c r="C184" s="62" t="s">
        <v>526</v>
      </c>
      <c r="D184" s="4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</row>
    <row r="185" spans="1:16" ht="15" customHeight="1">
      <c r="A185" s="19"/>
    </row>
    <row r="186" spans="1:16" ht="15" customHeight="1">
      <c r="A186" s="19"/>
      <c r="B186" s="110" t="s">
        <v>747</v>
      </c>
      <c r="C186" s="110"/>
      <c r="D186" s="110"/>
    </row>
    <row r="187" spans="1:16" ht="15" customHeight="1">
      <c r="A187" s="19"/>
    </row>
    <row r="188" spans="1:16" ht="15" customHeight="1">
      <c r="A188" s="19"/>
    </row>
  </sheetData>
  <autoFilter ref="A2:P184"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23">
    <mergeCell ref="D167:D176"/>
    <mergeCell ref="D140:D152"/>
    <mergeCell ref="D84:D87"/>
    <mergeCell ref="D107:D108"/>
    <mergeCell ref="D111:D114"/>
    <mergeCell ref="D117:D131"/>
    <mergeCell ref="D132:D139"/>
    <mergeCell ref="B186:D186"/>
    <mergeCell ref="B182:B184"/>
    <mergeCell ref="H2:P2"/>
    <mergeCell ref="B4:B6"/>
    <mergeCell ref="B7:B27"/>
    <mergeCell ref="B28:B44"/>
    <mergeCell ref="H3:P3"/>
    <mergeCell ref="H4:P4"/>
    <mergeCell ref="B45:B96"/>
    <mergeCell ref="B97:B131"/>
    <mergeCell ref="B132:B166"/>
    <mergeCell ref="B167:B176"/>
    <mergeCell ref="B177:B181"/>
    <mergeCell ref="D153:D160"/>
    <mergeCell ref="D161:D163"/>
    <mergeCell ref="D164:D166"/>
  </mergeCells>
  <conditionalFormatting sqref="C48">
    <cfRule type="duplicateValues" dxfId="0" priority="8"/>
  </conditionalFormatting>
  <pageMargins left="0.7" right="0.49" top="0.75" bottom="0.75" header="0.3" footer="0.3"/>
  <pageSetup paperSize="9" fitToWidth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200"/>
  <sheetViews>
    <sheetView workbookViewId="0">
      <pane ySplit="1" topLeftCell="A2" activePane="bottomLeft" state="frozen"/>
      <selection pane="bottomLeft" activeCell="B110" sqref="B110"/>
    </sheetView>
  </sheetViews>
  <sheetFormatPr defaultColWidth="9.6640625" defaultRowHeight="15.6"/>
  <cols>
    <col min="1" max="1" width="4.88671875" style="101" bestFit="1" customWidth="1"/>
    <col min="2" max="2" width="46.33203125" style="101" customWidth="1"/>
    <col min="3" max="3" width="28.109375" style="101" bestFit="1" customWidth="1"/>
    <col min="4" max="5" width="25.6640625" style="101" customWidth="1"/>
    <col min="6" max="6" width="104.88671875" style="97" bestFit="1" customWidth="1"/>
    <col min="7" max="7" width="17.77734375" style="97" customWidth="1"/>
    <col min="8" max="16384" width="9.6640625" style="101"/>
  </cols>
  <sheetData>
    <row r="1" spans="1:7" s="96" customFormat="1">
      <c r="A1" s="94" t="s">
        <v>1730</v>
      </c>
      <c r="B1" s="94"/>
      <c r="C1" s="94" t="s">
        <v>1855</v>
      </c>
      <c r="D1" s="95" t="s">
        <v>1856</v>
      </c>
      <c r="E1" s="95" t="s">
        <v>1857</v>
      </c>
      <c r="F1" s="94" t="s">
        <v>1858</v>
      </c>
      <c r="G1" s="94" t="s">
        <v>163</v>
      </c>
    </row>
    <row r="2" spans="1:7" hidden="1">
      <c r="A2" s="97">
        <f>ROW()-1</f>
        <v>1</v>
      </c>
      <c r="B2" s="97" t="str">
        <f>C2&amp;", "&amp;D2&amp;", "&amp;E2</f>
        <v>Phường Hà Khánh, Thành phố Hạ Long, Tỉnh Quảng Ninh</v>
      </c>
      <c r="C2" s="98" t="s">
        <v>804</v>
      </c>
      <c r="D2" s="99" t="s">
        <v>1738</v>
      </c>
      <c r="E2" s="99" t="s">
        <v>1739</v>
      </c>
      <c r="F2" s="97" t="s">
        <v>1859</v>
      </c>
      <c r="G2" s="100">
        <v>43090</v>
      </c>
    </row>
    <row r="3" spans="1:7" hidden="1">
      <c r="A3" s="97">
        <f t="shared" ref="A3:A66" si="0">ROW()-1</f>
        <v>2</v>
      </c>
      <c r="B3" s="97" t="str">
        <f t="shared" ref="B3:B66" si="1">C3&amp;", "&amp;D3&amp;", "&amp;E3</f>
        <v>Phường Hà Phong, Thành phố Hạ Long, Tỉnh Quảng Ninh</v>
      </c>
      <c r="C3" s="98" t="s">
        <v>805</v>
      </c>
      <c r="D3" s="99" t="s">
        <v>1738</v>
      </c>
      <c r="E3" s="99" t="s">
        <v>1739</v>
      </c>
      <c r="F3" s="97" t="s">
        <v>1860</v>
      </c>
      <c r="G3" s="100">
        <v>43081</v>
      </c>
    </row>
    <row r="4" spans="1:7" hidden="1">
      <c r="A4" s="97">
        <f t="shared" si="0"/>
        <v>3</v>
      </c>
      <c r="B4" s="97" t="str">
        <f t="shared" si="1"/>
        <v>Phường Hà Khẩu, Thành phố Hạ Long, Tỉnh Quảng Ninh</v>
      </c>
      <c r="C4" s="98" t="s">
        <v>806</v>
      </c>
      <c r="D4" s="99" t="s">
        <v>1738</v>
      </c>
      <c r="E4" s="99" t="s">
        <v>1739</v>
      </c>
      <c r="F4" s="97" t="s">
        <v>1861</v>
      </c>
      <c r="G4" s="100">
        <v>43089</v>
      </c>
    </row>
    <row r="5" spans="1:7" hidden="1">
      <c r="A5" s="97">
        <f t="shared" si="0"/>
        <v>4</v>
      </c>
      <c r="B5" s="97" t="str">
        <f t="shared" si="1"/>
        <v>Phường Cao Xanh, Thành phố Hạ Long, Tỉnh Quảng Ninh</v>
      </c>
      <c r="C5" s="98" t="s">
        <v>807</v>
      </c>
      <c r="D5" s="99" t="s">
        <v>1738</v>
      </c>
      <c r="E5" s="99" t="s">
        <v>1739</v>
      </c>
      <c r="F5" s="97" t="s">
        <v>1862</v>
      </c>
      <c r="G5" s="100">
        <v>43094</v>
      </c>
    </row>
    <row r="6" spans="1:7" hidden="1">
      <c r="A6" s="97">
        <f t="shared" si="0"/>
        <v>5</v>
      </c>
      <c r="B6" s="97" t="str">
        <f t="shared" si="1"/>
        <v>Phường Giếng Đáy, Thành phố Hạ Long, Tỉnh Quảng Ninh</v>
      </c>
      <c r="C6" s="98" t="s">
        <v>808</v>
      </c>
      <c r="D6" s="99" t="s">
        <v>1738</v>
      </c>
      <c r="E6" s="99" t="s">
        <v>1739</v>
      </c>
      <c r="F6" s="97" t="s">
        <v>1863</v>
      </c>
      <c r="G6" s="100">
        <v>43091</v>
      </c>
    </row>
    <row r="7" spans="1:7" hidden="1">
      <c r="A7" s="97">
        <f t="shared" si="0"/>
        <v>6</v>
      </c>
      <c r="B7" s="97" t="str">
        <f t="shared" si="1"/>
        <v>Phường Hà Tu, Thành phố Hạ Long, Tỉnh Quảng Ninh</v>
      </c>
      <c r="C7" s="98" t="s">
        <v>809</v>
      </c>
      <c r="D7" s="99" t="s">
        <v>1738</v>
      </c>
      <c r="E7" s="99" t="s">
        <v>1739</v>
      </c>
      <c r="F7" s="97" t="s">
        <v>1864</v>
      </c>
      <c r="G7" s="100">
        <v>43094</v>
      </c>
    </row>
    <row r="8" spans="1:7" hidden="1">
      <c r="A8" s="97">
        <f t="shared" si="0"/>
        <v>7</v>
      </c>
      <c r="B8" s="97" t="str">
        <f t="shared" si="1"/>
        <v>Phường Hà Trung, Thành phố Hạ Long, Tỉnh Quảng Ninh</v>
      </c>
      <c r="C8" s="98" t="s">
        <v>810</v>
      </c>
      <c r="D8" s="99" t="s">
        <v>1738</v>
      </c>
      <c r="E8" s="99" t="s">
        <v>1739</v>
      </c>
      <c r="F8" s="97" t="s">
        <v>1859</v>
      </c>
      <c r="G8" s="100">
        <v>43095</v>
      </c>
    </row>
    <row r="9" spans="1:7" hidden="1">
      <c r="A9" s="97">
        <f t="shared" si="0"/>
        <v>8</v>
      </c>
      <c r="B9" s="97" t="str">
        <f t="shared" si="1"/>
        <v>Phường Hà Lầm, Thành phố Hạ Long, Tỉnh Quảng Ninh</v>
      </c>
      <c r="C9" s="98" t="s">
        <v>811</v>
      </c>
      <c r="D9" s="99" t="s">
        <v>1738</v>
      </c>
      <c r="E9" s="99" t="s">
        <v>1739</v>
      </c>
      <c r="F9" s="97" t="s">
        <v>1859</v>
      </c>
      <c r="G9" s="100">
        <v>43090</v>
      </c>
    </row>
    <row r="10" spans="1:7" hidden="1">
      <c r="A10" s="97">
        <f t="shared" si="0"/>
        <v>9</v>
      </c>
      <c r="B10" s="97" t="str">
        <f t="shared" si="1"/>
        <v>Phường Bãi Cháy, Thành phố Hạ Long, Tỉnh Quảng Ninh</v>
      </c>
      <c r="C10" s="98" t="s">
        <v>812</v>
      </c>
      <c r="D10" s="99" t="s">
        <v>1738</v>
      </c>
      <c r="E10" s="99" t="s">
        <v>1739</v>
      </c>
      <c r="F10" s="97" t="s">
        <v>1865</v>
      </c>
      <c r="G10" s="100">
        <v>43096</v>
      </c>
    </row>
    <row r="11" spans="1:7" hidden="1">
      <c r="A11" s="97">
        <f t="shared" si="0"/>
        <v>10</v>
      </c>
      <c r="B11" s="97" t="str">
        <f t="shared" si="1"/>
        <v>Phường Cao Thắng, Thành phố Hạ Long, Tỉnh Quảng Ninh</v>
      </c>
      <c r="C11" s="98" t="s">
        <v>813</v>
      </c>
      <c r="D11" s="99" t="s">
        <v>1738</v>
      </c>
      <c r="E11" s="99" t="s">
        <v>1739</v>
      </c>
      <c r="F11" s="97" t="s">
        <v>1866</v>
      </c>
      <c r="G11" s="100">
        <v>43098</v>
      </c>
    </row>
    <row r="12" spans="1:7" hidden="1">
      <c r="A12" s="97">
        <f t="shared" si="0"/>
        <v>11</v>
      </c>
      <c r="B12" s="97" t="str">
        <f t="shared" si="1"/>
        <v>Phường Hùng Thắng, Thành phố Hạ Long, Tỉnh Quảng Ninh</v>
      </c>
      <c r="C12" s="98" t="s">
        <v>814</v>
      </c>
      <c r="D12" s="99" t="s">
        <v>1738</v>
      </c>
      <c r="E12" s="99" t="s">
        <v>1739</v>
      </c>
      <c r="F12" s="97" t="s">
        <v>1867</v>
      </c>
      <c r="G12" s="100">
        <v>43084</v>
      </c>
    </row>
    <row r="13" spans="1:7" hidden="1">
      <c r="A13" s="97">
        <f t="shared" si="0"/>
        <v>12</v>
      </c>
      <c r="B13" s="97" t="str">
        <f t="shared" si="1"/>
        <v>Phường Trần Hưng Đạo, Thành phố Hạ Long, Tỉnh Quảng Ninh</v>
      </c>
      <c r="C13" s="98" t="s">
        <v>774</v>
      </c>
      <c r="D13" s="99" t="s">
        <v>1738</v>
      </c>
      <c r="E13" s="99" t="s">
        <v>1739</v>
      </c>
      <c r="F13" s="97" t="s">
        <v>1868</v>
      </c>
      <c r="G13" s="100">
        <v>43094</v>
      </c>
    </row>
    <row r="14" spans="1:7" hidden="1">
      <c r="A14" s="97">
        <f t="shared" si="0"/>
        <v>13</v>
      </c>
      <c r="B14" s="97" t="str">
        <f t="shared" si="1"/>
        <v>Phường Hồng Hải, Thành phố Hạ Long, Tỉnh Quảng Ninh</v>
      </c>
      <c r="C14" s="98" t="s">
        <v>815</v>
      </c>
      <c r="D14" s="99" t="s">
        <v>1738</v>
      </c>
      <c r="E14" s="99" t="s">
        <v>1739</v>
      </c>
      <c r="F14" s="97" t="s">
        <v>1869</v>
      </c>
      <c r="G14" s="100">
        <v>43094</v>
      </c>
    </row>
    <row r="15" spans="1:7" hidden="1">
      <c r="A15" s="97">
        <f t="shared" si="0"/>
        <v>14</v>
      </c>
      <c r="B15" s="97" t="str">
        <f t="shared" si="1"/>
        <v>Phường Hồng Gai, Thành phố Hạ Long, Tỉnh Quảng Ninh</v>
      </c>
      <c r="C15" s="98" t="s">
        <v>816</v>
      </c>
      <c r="D15" s="99" t="s">
        <v>1738</v>
      </c>
      <c r="E15" s="99" t="s">
        <v>1739</v>
      </c>
      <c r="F15" s="97" t="s">
        <v>1870</v>
      </c>
      <c r="G15" s="100">
        <v>43081</v>
      </c>
    </row>
    <row r="16" spans="1:7" hidden="1">
      <c r="A16" s="97">
        <f t="shared" si="0"/>
        <v>15</v>
      </c>
      <c r="B16" s="97" t="str">
        <f t="shared" si="1"/>
        <v>Phường Bạch Đằng, Thành phố Hạ Long, Tỉnh Quảng Ninh</v>
      </c>
      <c r="C16" s="98" t="s">
        <v>777</v>
      </c>
      <c r="D16" s="99" t="s">
        <v>1738</v>
      </c>
      <c r="E16" s="99" t="s">
        <v>1739</v>
      </c>
      <c r="F16" s="97" t="s">
        <v>1871</v>
      </c>
      <c r="G16" s="100">
        <v>43090</v>
      </c>
    </row>
    <row r="17" spans="1:7" hidden="1">
      <c r="A17" s="97">
        <f t="shared" si="0"/>
        <v>16</v>
      </c>
      <c r="B17" s="97" t="str">
        <f t="shared" si="1"/>
        <v>Phường Hồng Hà, Thành phố Hạ Long, Tỉnh Quảng Ninh</v>
      </c>
      <c r="C17" s="98" t="s">
        <v>798</v>
      </c>
      <c r="D17" s="99" t="s">
        <v>1738</v>
      </c>
      <c r="E17" s="99" t="s">
        <v>1739</v>
      </c>
      <c r="F17" s="97" t="s">
        <v>1872</v>
      </c>
      <c r="G17" s="100">
        <v>43061</v>
      </c>
    </row>
    <row r="18" spans="1:7" hidden="1">
      <c r="A18" s="97">
        <f t="shared" si="0"/>
        <v>17</v>
      </c>
      <c r="B18" s="97" t="str">
        <f t="shared" si="1"/>
        <v>Phường Tuần Châu, Thành phố Hạ Long, Tỉnh Quảng Ninh</v>
      </c>
      <c r="C18" s="98" t="s">
        <v>817</v>
      </c>
      <c r="D18" s="99" t="s">
        <v>1738</v>
      </c>
      <c r="E18" s="99" t="s">
        <v>1739</v>
      </c>
      <c r="F18" s="97" t="s">
        <v>1873</v>
      </c>
      <c r="G18" s="100">
        <v>43094</v>
      </c>
    </row>
    <row r="19" spans="1:7" hidden="1">
      <c r="A19" s="97">
        <f t="shared" si="0"/>
        <v>18</v>
      </c>
      <c r="B19" s="97" t="str">
        <f t="shared" si="1"/>
        <v>Phường Việt Hưng, Thành phố Hạ Long, Tỉnh Quảng Ninh</v>
      </c>
      <c r="C19" s="98" t="s">
        <v>775</v>
      </c>
      <c r="D19" s="99" t="s">
        <v>1738</v>
      </c>
      <c r="E19" s="99" t="s">
        <v>1739</v>
      </c>
      <c r="F19" s="97" t="s">
        <v>1874</v>
      </c>
      <c r="G19" s="100">
        <v>43089</v>
      </c>
    </row>
    <row r="20" spans="1:7" hidden="1">
      <c r="A20" s="97">
        <f t="shared" si="0"/>
        <v>19</v>
      </c>
      <c r="B20" s="97" t="str">
        <f t="shared" si="1"/>
        <v>Phường Đại Yên, Thành phố Hạ Long, Tỉnh Quảng Ninh</v>
      </c>
      <c r="C20" s="98" t="s">
        <v>818</v>
      </c>
      <c r="D20" s="99" t="s">
        <v>1738</v>
      </c>
      <c r="E20" s="99" t="s">
        <v>1739</v>
      </c>
      <c r="F20" s="97" t="s">
        <v>1875</v>
      </c>
      <c r="G20" s="100">
        <v>43090</v>
      </c>
    </row>
    <row r="21" spans="1:7" hidden="1">
      <c r="A21" s="97">
        <f t="shared" si="0"/>
        <v>20</v>
      </c>
      <c r="B21" s="97" t="str">
        <f t="shared" si="1"/>
        <v>Yết kiêu, Thành phố Hạ Long, Tỉnh Quảng Ninh</v>
      </c>
      <c r="C21" s="98" t="s">
        <v>1876</v>
      </c>
      <c r="D21" s="99" t="s">
        <v>1738</v>
      </c>
      <c r="E21" s="99" t="s">
        <v>1739</v>
      </c>
      <c r="F21" s="97" t="s">
        <v>1862</v>
      </c>
      <c r="G21" s="100">
        <v>43090</v>
      </c>
    </row>
    <row r="22" spans="1:7" hidden="1">
      <c r="A22" s="97">
        <f t="shared" si="0"/>
        <v>21</v>
      </c>
      <c r="B22" s="97" t="str">
        <f t="shared" si="1"/>
        <v>Phường Hoành Bồ, Thành phố Hạ Long, Tỉnh Quảng Ninh</v>
      </c>
      <c r="C22" s="98" t="s">
        <v>819</v>
      </c>
      <c r="D22" s="99" t="s">
        <v>1738</v>
      </c>
      <c r="E22" s="99" t="s">
        <v>1739</v>
      </c>
    </row>
    <row r="23" spans="1:7" hidden="1">
      <c r="A23" s="97">
        <f t="shared" si="0"/>
        <v>22</v>
      </c>
      <c r="B23" s="97" t="str">
        <f t="shared" si="1"/>
        <v>Xã Kỳ Thượng, Thành phố Hạ Long, Tỉnh Quảng Ninh</v>
      </c>
      <c r="C23" s="98" t="s">
        <v>820</v>
      </c>
      <c r="D23" s="99" t="s">
        <v>1738</v>
      </c>
      <c r="E23" s="99" t="s">
        <v>1739</v>
      </c>
      <c r="F23" s="97" t="s">
        <v>1877</v>
      </c>
      <c r="G23" s="102" t="s">
        <v>1878</v>
      </c>
    </row>
    <row r="24" spans="1:7" hidden="1">
      <c r="A24" s="97">
        <f t="shared" si="0"/>
        <v>23</v>
      </c>
      <c r="B24" s="97" t="str">
        <f t="shared" si="1"/>
        <v>Xã Đồng Sơn, Thành phố Hạ Long, Tỉnh Quảng Ninh</v>
      </c>
      <c r="C24" s="98" t="s">
        <v>821</v>
      </c>
      <c r="D24" s="99" t="s">
        <v>1738</v>
      </c>
      <c r="E24" s="99" t="s">
        <v>1739</v>
      </c>
      <c r="F24" s="97" t="s">
        <v>1879</v>
      </c>
      <c r="G24" s="102" t="s">
        <v>1880</v>
      </c>
    </row>
    <row r="25" spans="1:7" hidden="1">
      <c r="A25" s="97">
        <f t="shared" si="0"/>
        <v>24</v>
      </c>
      <c r="B25" s="97" t="str">
        <f t="shared" si="1"/>
        <v>Xã Tân Dân, Thành phố Hạ Long, Tỉnh Quảng Ninh</v>
      </c>
      <c r="C25" s="98" t="s">
        <v>781</v>
      </c>
      <c r="D25" s="99" t="s">
        <v>1738</v>
      </c>
      <c r="E25" s="99" t="s">
        <v>1739</v>
      </c>
      <c r="F25" s="97" t="s">
        <v>1881</v>
      </c>
      <c r="G25" s="103" t="s">
        <v>1882</v>
      </c>
    </row>
    <row r="26" spans="1:7" hidden="1">
      <c r="A26" s="97">
        <f t="shared" si="0"/>
        <v>25</v>
      </c>
      <c r="B26" s="97" t="str">
        <f t="shared" si="1"/>
        <v>Xã Đồng Lâm, Thành phố Hạ Long, Tỉnh Quảng Ninh</v>
      </c>
      <c r="C26" s="98" t="s">
        <v>822</v>
      </c>
      <c r="D26" s="99" t="s">
        <v>1738</v>
      </c>
      <c r="E26" s="99" t="s">
        <v>1739</v>
      </c>
      <c r="F26" s="97" t="s">
        <v>1879</v>
      </c>
      <c r="G26" s="102" t="s">
        <v>1883</v>
      </c>
    </row>
    <row r="27" spans="1:7" hidden="1">
      <c r="A27" s="97">
        <f t="shared" si="0"/>
        <v>26</v>
      </c>
      <c r="B27" s="97" t="str">
        <f t="shared" si="1"/>
        <v>Xã Hòa Bình, Thành phố Hạ Long, Tỉnh Quảng Ninh</v>
      </c>
      <c r="C27" s="98" t="s">
        <v>787</v>
      </c>
      <c r="D27" s="99" t="s">
        <v>1738</v>
      </c>
      <c r="E27" s="99" t="s">
        <v>1739</v>
      </c>
      <c r="F27" s="97" t="s">
        <v>1881</v>
      </c>
      <c r="G27" s="102" t="s">
        <v>1884</v>
      </c>
    </row>
    <row r="28" spans="1:7" hidden="1">
      <c r="A28" s="97">
        <f t="shared" si="0"/>
        <v>27</v>
      </c>
      <c r="B28" s="97" t="str">
        <f t="shared" si="1"/>
        <v>Xã Vũ Oai, Thành phố Hạ Long, Tỉnh Quảng Ninh</v>
      </c>
      <c r="C28" s="98" t="s">
        <v>823</v>
      </c>
      <c r="D28" s="99" t="s">
        <v>1738</v>
      </c>
      <c r="E28" s="99" t="s">
        <v>1739</v>
      </c>
      <c r="F28" s="97" t="s">
        <v>1881</v>
      </c>
      <c r="G28" s="102" t="s">
        <v>1882</v>
      </c>
    </row>
    <row r="29" spans="1:7" hidden="1">
      <c r="A29" s="97">
        <f t="shared" si="0"/>
        <v>28</v>
      </c>
      <c r="B29" s="97" t="str">
        <f t="shared" si="1"/>
        <v>Xã Dân Chủ, Thành phố Hạ Long, Tỉnh Quảng Ninh</v>
      </c>
      <c r="C29" s="98" t="s">
        <v>795</v>
      </c>
      <c r="D29" s="99" t="s">
        <v>1738</v>
      </c>
      <c r="E29" s="99" t="s">
        <v>1739</v>
      </c>
      <c r="F29" s="97" t="s">
        <v>1881</v>
      </c>
      <c r="G29" s="102" t="s">
        <v>1885</v>
      </c>
    </row>
    <row r="30" spans="1:7" hidden="1">
      <c r="A30" s="97">
        <f t="shared" si="0"/>
        <v>29</v>
      </c>
      <c r="B30" s="97" t="str">
        <f t="shared" si="1"/>
        <v>Xã Quảng La, Thành phố Hạ Long, Tỉnh Quảng Ninh</v>
      </c>
      <c r="C30" s="98" t="s">
        <v>824</v>
      </c>
      <c r="D30" s="99" t="s">
        <v>1738</v>
      </c>
      <c r="E30" s="99" t="s">
        <v>1739</v>
      </c>
      <c r="F30" s="97" t="s">
        <v>1881</v>
      </c>
      <c r="G30" s="102" t="s">
        <v>1884</v>
      </c>
    </row>
    <row r="31" spans="1:7" hidden="1">
      <c r="A31" s="97">
        <f t="shared" si="0"/>
        <v>30</v>
      </c>
      <c r="B31" s="97" t="str">
        <f t="shared" si="1"/>
        <v>Xã Bằng Cả, Thành phố Hạ Long, Tỉnh Quảng Ninh</v>
      </c>
      <c r="C31" s="98" t="s">
        <v>825</v>
      </c>
      <c r="D31" s="99" t="s">
        <v>1738</v>
      </c>
      <c r="E31" s="99" t="s">
        <v>1739</v>
      </c>
      <c r="F31" s="97" t="s">
        <v>1881</v>
      </c>
      <c r="G31" s="102" t="s">
        <v>1885</v>
      </c>
    </row>
    <row r="32" spans="1:7" hidden="1">
      <c r="A32" s="97">
        <f t="shared" si="0"/>
        <v>31</v>
      </c>
      <c r="B32" s="97" t="str">
        <f t="shared" si="1"/>
        <v>Xã Thống Nhất, Thành phố Hạ Long, Tỉnh Quảng Ninh</v>
      </c>
      <c r="C32" s="98" t="s">
        <v>790</v>
      </c>
      <c r="D32" s="99" t="s">
        <v>1738</v>
      </c>
      <c r="E32" s="99" t="s">
        <v>1739</v>
      </c>
      <c r="F32" s="97" t="s">
        <v>1886</v>
      </c>
      <c r="G32" s="102" t="s">
        <v>1887</v>
      </c>
    </row>
    <row r="33" spans="1:7" hidden="1">
      <c r="A33" s="97">
        <f t="shared" si="0"/>
        <v>32</v>
      </c>
      <c r="B33" s="97" t="str">
        <f t="shared" si="1"/>
        <v>Xã Sơn Dương, Thành phố Hạ Long, Tỉnh Quảng Ninh</v>
      </c>
      <c r="C33" s="98" t="s">
        <v>826</v>
      </c>
      <c r="D33" s="99" t="s">
        <v>1738</v>
      </c>
      <c r="E33" s="99" t="s">
        <v>1739</v>
      </c>
      <c r="F33" s="97" t="s">
        <v>1886</v>
      </c>
      <c r="G33" s="102" t="s">
        <v>1887</v>
      </c>
    </row>
    <row r="34" spans="1:7" hidden="1">
      <c r="A34" s="97">
        <f t="shared" si="0"/>
        <v>33</v>
      </c>
      <c r="B34" s="97" t="str">
        <f t="shared" si="1"/>
        <v>Xã Lê Lợi, Thành phố Hạ Long, Tỉnh Quảng Ninh</v>
      </c>
      <c r="C34" s="98" t="s">
        <v>788</v>
      </c>
      <c r="D34" s="99" t="s">
        <v>1738</v>
      </c>
      <c r="E34" s="99" t="s">
        <v>1739</v>
      </c>
      <c r="F34" s="97" t="s">
        <v>1886</v>
      </c>
      <c r="G34" s="102" t="s">
        <v>1887</v>
      </c>
    </row>
    <row r="35" spans="1:7" hidden="1">
      <c r="A35" s="97">
        <f t="shared" si="0"/>
        <v>34</v>
      </c>
      <c r="B35" s="97" t="str">
        <f t="shared" si="1"/>
        <v>TT Trới , Thành phố Hạ Long, Tỉnh Quảng Ninh</v>
      </c>
      <c r="C35" s="98" t="s">
        <v>1888</v>
      </c>
      <c r="D35" s="99" t="s">
        <v>1738</v>
      </c>
      <c r="E35" s="99" t="s">
        <v>1739</v>
      </c>
      <c r="F35" s="97" t="s">
        <v>1886</v>
      </c>
      <c r="G35" s="103" t="s">
        <v>1887</v>
      </c>
    </row>
    <row r="36" spans="1:7" hidden="1">
      <c r="A36" s="97">
        <f t="shared" si="0"/>
        <v>35</v>
      </c>
      <c r="B36" s="97" t="str">
        <f t="shared" si="1"/>
        <v>Đất Lâm nghiệp, , Tỉnh Quảng Ninh</v>
      </c>
      <c r="C36" s="98" t="s">
        <v>1889</v>
      </c>
      <c r="D36" s="99"/>
      <c r="E36" s="99" t="s">
        <v>1739</v>
      </c>
      <c r="F36" s="97" t="s">
        <v>1859</v>
      </c>
      <c r="G36" s="103" t="s">
        <v>1890</v>
      </c>
    </row>
    <row r="37" spans="1:7" hidden="1">
      <c r="A37" s="97">
        <f t="shared" si="0"/>
        <v>36</v>
      </c>
      <c r="B37" s="97" t="str">
        <f t="shared" si="1"/>
        <v>Phường Ka Long, Thành phố Móng Cái, Tỉnh Quảng Ninh</v>
      </c>
      <c r="C37" s="98" t="s">
        <v>827</v>
      </c>
      <c r="D37" s="99" t="s">
        <v>1740</v>
      </c>
      <c r="E37" s="99" t="s">
        <v>1739</v>
      </c>
      <c r="F37" s="97" t="s">
        <v>1859</v>
      </c>
      <c r="G37" s="104" t="s">
        <v>1891</v>
      </c>
    </row>
    <row r="38" spans="1:7" hidden="1">
      <c r="A38" s="97">
        <f t="shared" si="0"/>
        <v>37</v>
      </c>
      <c r="B38" s="97" t="str">
        <f t="shared" si="1"/>
        <v>Phường Trần Phú, Thành phố Móng Cái, Tỉnh Quảng Ninh</v>
      </c>
      <c r="C38" s="98" t="s">
        <v>778</v>
      </c>
      <c r="D38" s="99" t="s">
        <v>1740</v>
      </c>
      <c r="E38" s="99" t="s">
        <v>1739</v>
      </c>
      <c r="F38" s="105" t="s">
        <v>1892</v>
      </c>
      <c r="G38" s="104" t="s">
        <v>1893</v>
      </c>
    </row>
    <row r="39" spans="1:7" hidden="1">
      <c r="A39" s="97">
        <f t="shared" si="0"/>
        <v>38</v>
      </c>
      <c r="B39" s="97" t="str">
        <f t="shared" si="1"/>
        <v>Phường Ninh Dương, Thành phố Móng Cái, Tỉnh Quảng Ninh</v>
      </c>
      <c r="C39" s="98" t="s">
        <v>828</v>
      </c>
      <c r="D39" s="99" t="s">
        <v>1740</v>
      </c>
      <c r="E39" s="99" t="s">
        <v>1739</v>
      </c>
      <c r="F39" s="97" t="s">
        <v>1894</v>
      </c>
      <c r="G39" s="104" t="s">
        <v>1895</v>
      </c>
    </row>
    <row r="40" spans="1:7" hidden="1">
      <c r="A40" s="97">
        <f t="shared" si="0"/>
        <v>39</v>
      </c>
      <c r="B40" s="97" t="str">
        <f t="shared" si="1"/>
        <v>Phường Trà Cổ, Thành phố Móng Cái, Tỉnh Quảng Ninh</v>
      </c>
      <c r="C40" s="98" t="s">
        <v>829</v>
      </c>
      <c r="D40" s="99" t="s">
        <v>1740</v>
      </c>
      <c r="E40" s="99" t="s">
        <v>1739</v>
      </c>
      <c r="F40" s="97" t="s">
        <v>1886</v>
      </c>
      <c r="G40" s="104" t="s">
        <v>1896</v>
      </c>
    </row>
    <row r="41" spans="1:7" hidden="1">
      <c r="A41" s="97">
        <f t="shared" si="0"/>
        <v>40</v>
      </c>
      <c r="B41" s="97" t="str">
        <f t="shared" si="1"/>
        <v>Xã Hải Sơn, Thành phố Móng Cái, Tỉnh Quảng Ninh</v>
      </c>
      <c r="C41" s="98" t="s">
        <v>830</v>
      </c>
      <c r="D41" s="99" t="s">
        <v>1740</v>
      </c>
      <c r="E41" s="99" t="s">
        <v>1739</v>
      </c>
      <c r="F41" s="97" t="s">
        <v>1859</v>
      </c>
      <c r="G41" s="104" t="s">
        <v>1897</v>
      </c>
    </row>
    <row r="42" spans="1:7" hidden="1">
      <c r="A42" s="97">
        <f t="shared" si="0"/>
        <v>41</v>
      </c>
      <c r="B42" s="97" t="str">
        <f t="shared" si="1"/>
        <v>Xã Bắc Sơn, Thành phố Móng Cái, Tỉnh Quảng Ninh</v>
      </c>
      <c r="C42" s="98" t="s">
        <v>779</v>
      </c>
      <c r="D42" s="99" t="s">
        <v>1740</v>
      </c>
      <c r="E42" s="99" t="s">
        <v>1739</v>
      </c>
      <c r="F42" s="97" t="s">
        <v>1859</v>
      </c>
      <c r="G42" s="104" t="s">
        <v>1898</v>
      </c>
    </row>
    <row r="43" spans="1:7" hidden="1">
      <c r="A43" s="97">
        <f t="shared" si="0"/>
        <v>42</v>
      </c>
      <c r="B43" s="97" t="str">
        <f t="shared" si="1"/>
        <v>Xã Hải Đông, Thành phố Móng Cái, Tỉnh Quảng Ninh</v>
      </c>
      <c r="C43" s="98" t="s">
        <v>831</v>
      </c>
      <c r="D43" s="99" t="s">
        <v>1740</v>
      </c>
      <c r="E43" s="99" t="s">
        <v>1739</v>
      </c>
      <c r="F43" s="97" t="s">
        <v>1864</v>
      </c>
      <c r="G43" s="104" t="s">
        <v>1899</v>
      </c>
    </row>
    <row r="44" spans="1:7" hidden="1">
      <c r="A44" s="97">
        <f t="shared" si="0"/>
        <v>43</v>
      </c>
      <c r="B44" s="97" t="str">
        <f t="shared" si="1"/>
        <v>Xã Hải Tiến, Thành phố Móng Cái, Tỉnh Quảng Ninh</v>
      </c>
      <c r="C44" s="98" t="s">
        <v>832</v>
      </c>
      <c r="D44" s="99" t="s">
        <v>1740</v>
      </c>
      <c r="E44" s="99" t="s">
        <v>1739</v>
      </c>
      <c r="F44" s="97" t="s">
        <v>1900</v>
      </c>
      <c r="G44" s="104" t="s">
        <v>1901</v>
      </c>
    </row>
    <row r="45" spans="1:7" hidden="1">
      <c r="A45" s="97">
        <f t="shared" si="0"/>
        <v>44</v>
      </c>
      <c r="B45" s="97" t="str">
        <f t="shared" si="1"/>
        <v>Phường Hải Yên, Thành phố Móng Cái, Tỉnh Quảng Ninh</v>
      </c>
      <c r="C45" s="98" t="s">
        <v>833</v>
      </c>
      <c r="D45" s="99" t="s">
        <v>1740</v>
      </c>
      <c r="E45" s="99" t="s">
        <v>1739</v>
      </c>
      <c r="F45" s="97" t="s">
        <v>1902</v>
      </c>
      <c r="G45" s="104" t="s">
        <v>1903</v>
      </c>
    </row>
    <row r="46" spans="1:7" hidden="1">
      <c r="A46" s="97">
        <f t="shared" si="0"/>
        <v>45</v>
      </c>
      <c r="B46" s="97" t="str">
        <f t="shared" si="1"/>
        <v>Xã Quảng Nghĩa, Thành phố Móng Cái, Tỉnh Quảng Ninh</v>
      </c>
      <c r="C46" s="98" t="s">
        <v>834</v>
      </c>
      <c r="D46" s="99" t="s">
        <v>1740</v>
      </c>
      <c r="E46" s="99" t="s">
        <v>1739</v>
      </c>
      <c r="F46" s="97" t="s">
        <v>1864</v>
      </c>
      <c r="G46" s="104" t="s">
        <v>1904</v>
      </c>
    </row>
    <row r="47" spans="1:7" hidden="1">
      <c r="A47" s="97">
        <f t="shared" si="0"/>
        <v>46</v>
      </c>
      <c r="B47" s="97" t="str">
        <f t="shared" si="1"/>
        <v>Phường Hải Hoà, Thành phố Móng Cái, Tỉnh Quảng Ninh</v>
      </c>
      <c r="C47" s="98" t="s">
        <v>1905</v>
      </c>
      <c r="D47" s="99" t="s">
        <v>1740</v>
      </c>
      <c r="E47" s="99" t="s">
        <v>1739</v>
      </c>
      <c r="F47" s="97" t="s">
        <v>1906</v>
      </c>
      <c r="G47" s="104" t="s">
        <v>1896</v>
      </c>
    </row>
    <row r="48" spans="1:7" hidden="1">
      <c r="A48" s="97">
        <f t="shared" si="0"/>
        <v>47</v>
      </c>
      <c r="B48" s="97" t="str">
        <f t="shared" si="1"/>
        <v>Xã Hải Xuân, Thành phố Móng Cái, Tỉnh Quảng Ninh</v>
      </c>
      <c r="C48" s="98" t="s">
        <v>835</v>
      </c>
      <c r="D48" s="99" t="s">
        <v>1740</v>
      </c>
      <c r="E48" s="99" t="s">
        <v>1739</v>
      </c>
      <c r="F48" s="97" t="s">
        <v>1859</v>
      </c>
      <c r="G48" s="104" t="s">
        <v>1893</v>
      </c>
    </row>
    <row r="49" spans="1:7" hidden="1">
      <c r="A49" s="97">
        <f t="shared" si="0"/>
        <v>48</v>
      </c>
      <c r="B49" s="97" t="str">
        <f t="shared" si="1"/>
        <v>Xã Vạn Ninh, Thành phố Móng Cái, Tỉnh Quảng Ninh</v>
      </c>
      <c r="C49" s="98" t="s">
        <v>836</v>
      </c>
      <c r="D49" s="99" t="s">
        <v>1740</v>
      </c>
      <c r="E49" s="99" t="s">
        <v>1739</v>
      </c>
      <c r="F49" s="97" t="s">
        <v>1894</v>
      </c>
      <c r="G49" s="104" t="s">
        <v>1895</v>
      </c>
    </row>
    <row r="50" spans="1:7" hidden="1">
      <c r="A50" s="97">
        <f t="shared" si="0"/>
        <v>49</v>
      </c>
      <c r="B50" s="97" t="str">
        <f t="shared" si="1"/>
        <v>Phường Bình Ngọc, Thành phố Móng Cái, Tỉnh Quảng Ninh</v>
      </c>
      <c r="C50" s="98" t="s">
        <v>837</v>
      </c>
      <c r="D50" s="99" t="s">
        <v>1740</v>
      </c>
      <c r="E50" s="99" t="s">
        <v>1739</v>
      </c>
      <c r="F50" s="97" t="s">
        <v>1886</v>
      </c>
      <c r="G50" s="104" t="s">
        <v>1896</v>
      </c>
    </row>
    <row r="51" spans="1:7" hidden="1">
      <c r="A51" s="97">
        <f t="shared" si="0"/>
        <v>50</v>
      </c>
      <c r="B51" s="97" t="str">
        <f t="shared" si="1"/>
        <v>Xã Vĩnh Trung, Thành phố Móng Cái, Tỉnh Quảng Ninh</v>
      </c>
      <c r="C51" s="98" t="s">
        <v>838</v>
      </c>
      <c r="D51" s="99" t="s">
        <v>1740</v>
      </c>
      <c r="E51" s="99" t="s">
        <v>1739</v>
      </c>
      <c r="F51" s="97" t="s">
        <v>1894</v>
      </c>
      <c r="G51" s="104" t="s">
        <v>1895</v>
      </c>
    </row>
    <row r="52" spans="1:7" hidden="1">
      <c r="A52" s="97">
        <f t="shared" si="0"/>
        <v>51</v>
      </c>
      <c r="B52" s="97" t="str">
        <f t="shared" si="1"/>
        <v>Xã Vĩnh Thực, Thành phố Móng Cái, Tỉnh Quảng Ninh</v>
      </c>
      <c r="C52" s="98" t="s">
        <v>839</v>
      </c>
      <c r="D52" s="99" t="s">
        <v>1740</v>
      </c>
      <c r="E52" s="99" t="s">
        <v>1739</v>
      </c>
      <c r="F52" s="97" t="s">
        <v>1900</v>
      </c>
      <c r="G52" s="104" t="s">
        <v>1907</v>
      </c>
    </row>
    <row r="53" spans="1:7" ht="34.950000000000003" hidden="1" customHeight="1">
      <c r="A53" s="97">
        <f t="shared" si="0"/>
        <v>52</v>
      </c>
      <c r="B53" s="97" t="str">
        <f t="shared" si="1"/>
        <v>Hoà Lạc, Thành phố Móng Cái, Tỉnh Quảng Ninh</v>
      </c>
      <c r="C53" s="98" t="s">
        <v>1908</v>
      </c>
      <c r="D53" s="99" t="s">
        <v>1740</v>
      </c>
      <c r="E53" s="99" t="s">
        <v>1739</v>
      </c>
      <c r="F53" s="105" t="s">
        <v>1892</v>
      </c>
      <c r="G53" s="104" t="s">
        <v>1893</v>
      </c>
    </row>
    <row r="54" spans="1:7" ht="34.950000000000003" hidden="1" customHeight="1">
      <c r="A54" s="97">
        <f t="shared" si="0"/>
        <v>53</v>
      </c>
      <c r="B54" s="97" t="str">
        <f t="shared" si="1"/>
        <v>Đất Lâm nghiệp, , Tỉnh Quảng Ninh</v>
      </c>
      <c r="C54" s="98" t="s">
        <v>1889</v>
      </c>
      <c r="D54" s="99"/>
      <c r="E54" s="99" t="s">
        <v>1739</v>
      </c>
      <c r="F54" s="105" t="s">
        <v>1859</v>
      </c>
      <c r="G54" s="106">
        <v>41228</v>
      </c>
    </row>
    <row r="55" spans="1:7" hidden="1">
      <c r="A55" s="97">
        <f t="shared" si="0"/>
        <v>54</v>
      </c>
      <c r="B55" s="97" t="str">
        <f t="shared" si="1"/>
        <v>Phường Mông Dương, Thành phố Cẩm Phả, Tỉnh Quảng Ninh</v>
      </c>
      <c r="C55" s="98" t="s">
        <v>840</v>
      </c>
      <c r="D55" s="99" t="s">
        <v>1744</v>
      </c>
      <c r="E55" s="99" t="s">
        <v>1739</v>
      </c>
      <c r="F55" s="97" t="s">
        <v>1870</v>
      </c>
      <c r="G55" s="100">
        <v>43089</v>
      </c>
    </row>
    <row r="56" spans="1:7" hidden="1">
      <c r="A56" s="97">
        <f t="shared" si="0"/>
        <v>55</v>
      </c>
      <c r="B56" s="97" t="str">
        <f t="shared" si="1"/>
        <v>Phường Cửa Ông, Thành phố Cẩm Phả, Tỉnh Quảng Ninh</v>
      </c>
      <c r="C56" s="98" t="s">
        <v>841</v>
      </c>
      <c r="D56" s="99" t="s">
        <v>1744</v>
      </c>
      <c r="E56" s="99" t="s">
        <v>1739</v>
      </c>
      <c r="F56" s="97" t="s">
        <v>1872</v>
      </c>
      <c r="G56" s="100">
        <v>43089</v>
      </c>
    </row>
    <row r="57" spans="1:7" hidden="1">
      <c r="A57" s="97">
        <f t="shared" si="0"/>
        <v>56</v>
      </c>
      <c r="B57" s="97" t="str">
        <f t="shared" si="1"/>
        <v>Phường Cẩm Sơn, Thành phố Cẩm Phả, Tỉnh Quảng Ninh</v>
      </c>
      <c r="C57" s="98" t="s">
        <v>842</v>
      </c>
      <c r="D57" s="99" t="s">
        <v>1744</v>
      </c>
      <c r="E57" s="99" t="s">
        <v>1739</v>
      </c>
      <c r="F57" s="97" t="s">
        <v>1909</v>
      </c>
      <c r="G57" s="100">
        <v>43096</v>
      </c>
    </row>
    <row r="58" spans="1:7" hidden="1">
      <c r="A58" s="97">
        <f t="shared" si="0"/>
        <v>57</v>
      </c>
      <c r="B58" s="97" t="str">
        <f t="shared" si="1"/>
        <v>Phường Cẩm Đông, Thành phố Cẩm Phả, Tỉnh Quảng Ninh</v>
      </c>
      <c r="C58" s="98" t="s">
        <v>843</v>
      </c>
      <c r="D58" s="99" t="s">
        <v>1744</v>
      </c>
      <c r="E58" s="99" t="s">
        <v>1739</v>
      </c>
      <c r="F58" s="97" t="s">
        <v>1866</v>
      </c>
      <c r="G58" s="100">
        <v>43094</v>
      </c>
    </row>
    <row r="59" spans="1:7" hidden="1">
      <c r="A59" s="97">
        <f t="shared" si="0"/>
        <v>58</v>
      </c>
      <c r="B59" s="97" t="str">
        <f t="shared" si="1"/>
        <v>Phường Cẩm Phú, Thành phố Cẩm Phả, Tỉnh Quảng Ninh</v>
      </c>
      <c r="C59" s="98" t="s">
        <v>844</v>
      </c>
      <c r="D59" s="99" t="s">
        <v>1744</v>
      </c>
      <c r="E59" s="99" t="s">
        <v>1739</v>
      </c>
      <c r="F59" s="97" t="s">
        <v>1875</v>
      </c>
      <c r="G59" s="100">
        <v>43090</v>
      </c>
    </row>
    <row r="60" spans="1:7" hidden="1">
      <c r="A60" s="97">
        <f t="shared" si="0"/>
        <v>59</v>
      </c>
      <c r="B60" s="97" t="str">
        <f t="shared" si="1"/>
        <v>Phường Cẩm Tây, Thành phố Cẩm Phả, Tỉnh Quảng Ninh</v>
      </c>
      <c r="C60" s="98" t="s">
        <v>845</v>
      </c>
      <c r="D60" s="99" t="s">
        <v>1744</v>
      </c>
      <c r="E60" s="99" t="s">
        <v>1739</v>
      </c>
      <c r="F60" s="97" t="s">
        <v>1866</v>
      </c>
      <c r="G60" s="100">
        <v>43097</v>
      </c>
    </row>
    <row r="61" spans="1:7" hidden="1">
      <c r="A61" s="97">
        <f t="shared" si="0"/>
        <v>60</v>
      </c>
      <c r="B61" s="97" t="str">
        <f t="shared" si="1"/>
        <v>Phường Quang Hanh, Thành phố Cẩm Phả, Tỉnh Quảng Ninh</v>
      </c>
      <c r="C61" s="98" t="s">
        <v>846</v>
      </c>
      <c r="D61" s="99" t="s">
        <v>1744</v>
      </c>
      <c r="E61" s="99" t="s">
        <v>1739</v>
      </c>
      <c r="F61" s="97" t="s">
        <v>1866</v>
      </c>
      <c r="G61" s="100">
        <v>43090</v>
      </c>
    </row>
    <row r="62" spans="1:7" hidden="1">
      <c r="A62" s="97">
        <f t="shared" si="0"/>
        <v>61</v>
      </c>
      <c r="B62" s="97" t="str">
        <f t="shared" si="1"/>
        <v>Phường Cẩm Thịnh, Thành phố Cẩm Phả, Tỉnh Quảng Ninh</v>
      </c>
      <c r="C62" s="98" t="s">
        <v>847</v>
      </c>
      <c r="D62" s="99" t="s">
        <v>1744</v>
      </c>
      <c r="E62" s="99" t="s">
        <v>1739</v>
      </c>
      <c r="F62" s="97" t="s">
        <v>1861</v>
      </c>
      <c r="G62" s="100">
        <v>43089</v>
      </c>
    </row>
    <row r="63" spans="1:7" hidden="1">
      <c r="A63" s="97">
        <f t="shared" si="0"/>
        <v>62</v>
      </c>
      <c r="B63" s="97" t="str">
        <f t="shared" si="1"/>
        <v>Phường Cẩm Thủy, Thành phố Cẩm Phả, Tỉnh Quảng Ninh</v>
      </c>
      <c r="C63" s="98" t="s">
        <v>848</v>
      </c>
      <c r="D63" s="99" t="s">
        <v>1744</v>
      </c>
      <c r="E63" s="99" t="s">
        <v>1739</v>
      </c>
      <c r="F63" s="97" t="s">
        <v>1909</v>
      </c>
      <c r="G63" s="100">
        <v>43094</v>
      </c>
    </row>
    <row r="64" spans="1:7" hidden="1">
      <c r="A64" s="97">
        <f t="shared" si="0"/>
        <v>63</v>
      </c>
      <c r="B64" s="97" t="str">
        <f t="shared" si="1"/>
        <v>Phường Cẩm Thạch, Thành phố Cẩm Phả, Tỉnh Quảng Ninh</v>
      </c>
      <c r="C64" s="98" t="s">
        <v>849</v>
      </c>
      <c r="D64" s="99" t="s">
        <v>1744</v>
      </c>
      <c r="E64" s="99" t="s">
        <v>1739</v>
      </c>
      <c r="F64" s="97" t="s">
        <v>1866</v>
      </c>
      <c r="G64" s="100">
        <v>43081</v>
      </c>
    </row>
    <row r="65" spans="1:7" hidden="1">
      <c r="A65" s="97">
        <f t="shared" si="0"/>
        <v>64</v>
      </c>
      <c r="B65" s="97" t="str">
        <f t="shared" si="1"/>
        <v>Phường Cẩm Thành, Thành phố Cẩm Phả, Tỉnh Quảng Ninh</v>
      </c>
      <c r="C65" s="98" t="s">
        <v>850</v>
      </c>
      <c r="D65" s="99" t="s">
        <v>1744</v>
      </c>
      <c r="E65" s="99" t="s">
        <v>1739</v>
      </c>
      <c r="F65" s="97" t="s">
        <v>1868</v>
      </c>
      <c r="G65" s="100">
        <v>43084</v>
      </c>
    </row>
    <row r="66" spans="1:7" hidden="1">
      <c r="A66" s="97">
        <f t="shared" si="0"/>
        <v>65</v>
      </c>
      <c r="B66" s="97" t="str">
        <f t="shared" si="1"/>
        <v>Phường Cẩm Trung, Thành phố Cẩm Phả, Tỉnh Quảng Ninh</v>
      </c>
      <c r="C66" s="98" t="s">
        <v>851</v>
      </c>
      <c r="D66" s="99" t="s">
        <v>1744</v>
      </c>
      <c r="E66" s="99" t="s">
        <v>1739</v>
      </c>
      <c r="F66" s="97" t="s">
        <v>1909</v>
      </c>
      <c r="G66" s="100">
        <v>43094</v>
      </c>
    </row>
    <row r="67" spans="1:7" hidden="1">
      <c r="A67" s="97">
        <f t="shared" ref="A67:A130" si="2">ROW()-1</f>
        <v>66</v>
      </c>
      <c r="B67" s="97" t="str">
        <f t="shared" ref="B67:B130" si="3">C67&amp;", "&amp;D67&amp;", "&amp;E67</f>
        <v>Phường Cẩm Bình, Thành phố Cẩm Phả, Tỉnh Quảng Ninh</v>
      </c>
      <c r="C67" s="98" t="s">
        <v>852</v>
      </c>
      <c r="D67" s="99" t="s">
        <v>1744</v>
      </c>
      <c r="E67" s="99" t="s">
        <v>1739</v>
      </c>
      <c r="F67" s="97" t="s">
        <v>1861</v>
      </c>
      <c r="G67" s="100">
        <v>43059</v>
      </c>
    </row>
    <row r="68" spans="1:7" hidden="1">
      <c r="A68" s="97">
        <f t="shared" si="2"/>
        <v>67</v>
      </c>
      <c r="B68" s="97" t="str">
        <f t="shared" si="3"/>
        <v>Cẩm hải, Thành phố Cẩm Phả, Tỉnh Quảng Ninh</v>
      </c>
      <c r="C68" s="98" t="s">
        <v>1910</v>
      </c>
      <c r="D68" s="99" t="s">
        <v>1744</v>
      </c>
      <c r="E68" s="99" t="s">
        <v>1739</v>
      </c>
      <c r="F68" s="97" t="s">
        <v>1911</v>
      </c>
      <c r="G68" s="100">
        <v>41507</v>
      </c>
    </row>
    <row r="69" spans="1:7" hidden="1">
      <c r="A69" s="97">
        <f t="shared" si="2"/>
        <v>68</v>
      </c>
      <c r="B69" s="97" t="str">
        <f t="shared" si="3"/>
        <v>cộng hoà, Thành phố Cẩm Phả, Tỉnh Quảng Ninh</v>
      </c>
      <c r="C69" s="98" t="s">
        <v>1912</v>
      </c>
      <c r="D69" s="99" t="s">
        <v>1744</v>
      </c>
      <c r="E69" s="99" t="s">
        <v>1739</v>
      </c>
      <c r="F69" s="97" t="s">
        <v>1861</v>
      </c>
      <c r="G69" s="100">
        <v>41529</v>
      </c>
    </row>
    <row r="70" spans="1:7" hidden="1">
      <c r="A70" s="97">
        <f t="shared" si="2"/>
        <v>69</v>
      </c>
      <c r="B70" s="97" t="str">
        <f t="shared" si="3"/>
        <v>dương huy, Thành phố Cẩm Phả, Tỉnh Quảng Ninh</v>
      </c>
      <c r="C70" s="98" t="s">
        <v>1913</v>
      </c>
      <c r="D70" s="99" t="s">
        <v>1744</v>
      </c>
      <c r="E70" s="99" t="s">
        <v>1739</v>
      </c>
      <c r="F70" s="97" t="s">
        <v>1914</v>
      </c>
      <c r="G70" s="100">
        <v>41717</v>
      </c>
    </row>
    <row r="71" spans="1:7" hidden="1">
      <c r="A71" s="97">
        <f t="shared" si="2"/>
        <v>70</v>
      </c>
      <c r="B71" s="97" t="str">
        <f t="shared" si="3"/>
        <v>Xã Hải Hòa, Thành phố Cẩm Phả, Tỉnh Quảng Ninh</v>
      </c>
      <c r="C71" s="98" t="s">
        <v>942</v>
      </c>
      <c r="D71" s="99" t="s">
        <v>1744</v>
      </c>
      <c r="E71" s="99" t="s">
        <v>1739</v>
      </c>
    </row>
    <row r="72" spans="1:7" hidden="1">
      <c r="A72" s="97">
        <f t="shared" si="2"/>
        <v>71</v>
      </c>
      <c r="B72" s="97" t="str">
        <f t="shared" si="3"/>
        <v>Xã Dương Huy, Thành phố Cẩm Phả, Tỉnh Quảng Ninh</v>
      </c>
      <c r="C72" s="98" t="s">
        <v>853</v>
      </c>
      <c r="D72" s="99" t="s">
        <v>1744</v>
      </c>
      <c r="E72" s="99" t="s">
        <v>1739</v>
      </c>
    </row>
    <row r="73" spans="1:7" hidden="1">
      <c r="A73" s="97">
        <f t="shared" si="2"/>
        <v>72</v>
      </c>
      <c r="B73" s="97" t="str">
        <f t="shared" si="3"/>
        <v>Đất Lâm nghiệp, , Tỉnh Quảng Ninh</v>
      </c>
      <c r="C73" s="98" t="s">
        <v>1889</v>
      </c>
      <c r="D73" s="99"/>
      <c r="E73" s="99" t="s">
        <v>1739</v>
      </c>
      <c r="F73" s="97" t="s">
        <v>1869</v>
      </c>
      <c r="G73" s="100">
        <v>43081</v>
      </c>
    </row>
    <row r="74" spans="1:7" hidden="1">
      <c r="A74" s="97">
        <f t="shared" si="2"/>
        <v>73</v>
      </c>
      <c r="B74" s="97" t="str">
        <f t="shared" si="3"/>
        <v>Phường Vàng Danh, Thành phố Uông Bí, Tỉnh Quảng Ninh</v>
      </c>
      <c r="C74" s="107" t="s">
        <v>854</v>
      </c>
      <c r="D74" s="99" t="s">
        <v>1746</v>
      </c>
      <c r="E74" s="99" t="s">
        <v>1739</v>
      </c>
      <c r="F74" s="97" t="s">
        <v>1915</v>
      </c>
      <c r="G74" s="104" t="s">
        <v>1916</v>
      </c>
    </row>
    <row r="75" spans="1:7" hidden="1">
      <c r="A75" s="97">
        <f t="shared" si="2"/>
        <v>74</v>
      </c>
      <c r="B75" s="97" t="str">
        <f t="shared" si="3"/>
        <v>Phường Thanh Sơn, Thành phố Uông Bí, Tỉnh Quảng Ninh</v>
      </c>
      <c r="C75" s="107" t="s">
        <v>855</v>
      </c>
      <c r="D75" s="99" t="s">
        <v>1746</v>
      </c>
      <c r="E75" s="99" t="s">
        <v>1739</v>
      </c>
      <c r="F75" s="97" t="s">
        <v>1917</v>
      </c>
      <c r="G75" s="104" t="s">
        <v>1918</v>
      </c>
    </row>
    <row r="76" spans="1:7" hidden="1">
      <c r="A76" s="97">
        <f t="shared" si="2"/>
        <v>75</v>
      </c>
      <c r="B76" s="97" t="str">
        <f t="shared" si="3"/>
        <v>Phường Bắc Sơn, Thành phố Uông Bí, Tỉnh Quảng Ninh</v>
      </c>
      <c r="C76" s="107" t="s">
        <v>803</v>
      </c>
      <c r="D76" s="99" t="s">
        <v>1746</v>
      </c>
      <c r="E76" s="99" t="s">
        <v>1739</v>
      </c>
      <c r="F76" s="97" t="s">
        <v>1915</v>
      </c>
      <c r="G76" s="104" t="s">
        <v>1919</v>
      </c>
    </row>
    <row r="77" spans="1:7" hidden="1">
      <c r="A77" s="97">
        <f t="shared" si="2"/>
        <v>76</v>
      </c>
      <c r="B77" s="97" t="str">
        <f t="shared" si="3"/>
        <v>Phường Quang Trung, Thành phố Uông Bí, Tỉnh Quảng Ninh</v>
      </c>
      <c r="C77" s="107" t="s">
        <v>776</v>
      </c>
      <c r="D77" s="99" t="s">
        <v>1746</v>
      </c>
      <c r="E77" s="99" t="s">
        <v>1739</v>
      </c>
      <c r="F77" s="97" t="s">
        <v>1917</v>
      </c>
      <c r="G77" s="104" t="s">
        <v>1918</v>
      </c>
    </row>
    <row r="78" spans="1:7" hidden="1">
      <c r="A78" s="97">
        <f t="shared" si="2"/>
        <v>77</v>
      </c>
      <c r="B78" s="97" t="str">
        <f t="shared" si="3"/>
        <v>Phường Trưng Vương, Thành phố Uông Bí, Tỉnh Quảng Ninh</v>
      </c>
      <c r="C78" s="107" t="s">
        <v>802</v>
      </c>
      <c r="D78" s="99" t="s">
        <v>1746</v>
      </c>
      <c r="E78" s="99" t="s">
        <v>1739</v>
      </c>
      <c r="F78" s="97" t="s">
        <v>1917</v>
      </c>
      <c r="G78" s="104" t="s">
        <v>1918</v>
      </c>
    </row>
    <row r="79" spans="1:7" hidden="1">
      <c r="A79" s="97">
        <f t="shared" si="2"/>
        <v>78</v>
      </c>
      <c r="B79" s="97" t="str">
        <f t="shared" si="3"/>
        <v>Phường Nam Khê, Thành phố Uông Bí, Tỉnh Quảng Ninh</v>
      </c>
      <c r="C79" s="107" t="s">
        <v>856</v>
      </c>
      <c r="D79" s="99" t="s">
        <v>1746</v>
      </c>
      <c r="E79" s="99" t="s">
        <v>1739</v>
      </c>
      <c r="F79" s="97" t="s">
        <v>1917</v>
      </c>
      <c r="G79" s="104" t="s">
        <v>1918</v>
      </c>
    </row>
    <row r="80" spans="1:7" hidden="1">
      <c r="A80" s="97">
        <f t="shared" si="2"/>
        <v>79</v>
      </c>
      <c r="B80" s="97" t="str">
        <f t="shared" si="3"/>
        <v>Phường Yên Thanh, Thành phố Uông Bí, Tỉnh Quảng Ninh</v>
      </c>
      <c r="C80" s="107" t="s">
        <v>857</v>
      </c>
      <c r="D80" s="99" t="s">
        <v>1746</v>
      </c>
      <c r="E80" s="99" t="s">
        <v>1739</v>
      </c>
      <c r="F80" s="97" t="s">
        <v>1917</v>
      </c>
      <c r="G80" s="104" t="s">
        <v>1918</v>
      </c>
    </row>
    <row r="81" spans="1:7" hidden="1">
      <c r="A81" s="97">
        <f t="shared" si="2"/>
        <v>80</v>
      </c>
      <c r="B81" s="97" t="str">
        <f t="shared" si="3"/>
        <v>Xã Thượng Yên Công, Thành phố Uông Bí, Tỉnh Quảng Ninh</v>
      </c>
      <c r="C81" s="107" t="s">
        <v>858</v>
      </c>
      <c r="D81" s="99" t="s">
        <v>1746</v>
      </c>
      <c r="E81" s="99" t="s">
        <v>1739</v>
      </c>
      <c r="F81" s="97" t="s">
        <v>1917</v>
      </c>
      <c r="G81" s="108">
        <v>2017</v>
      </c>
    </row>
    <row r="82" spans="1:7" hidden="1">
      <c r="A82" s="97">
        <f t="shared" si="2"/>
        <v>81</v>
      </c>
      <c r="B82" s="97" t="str">
        <f t="shared" si="3"/>
        <v>Phường Phương Đông, Thành phố Uông Bí, Tỉnh Quảng Ninh</v>
      </c>
      <c r="C82" s="107" t="s">
        <v>859</v>
      </c>
      <c r="D82" s="99" t="s">
        <v>1746</v>
      </c>
      <c r="E82" s="99" t="s">
        <v>1739</v>
      </c>
      <c r="F82" s="97" t="s">
        <v>1917</v>
      </c>
      <c r="G82" s="104" t="s">
        <v>1918</v>
      </c>
    </row>
    <row r="83" spans="1:7" hidden="1">
      <c r="A83" s="97">
        <f t="shared" si="2"/>
        <v>82</v>
      </c>
      <c r="B83" s="97" t="str">
        <f t="shared" si="3"/>
        <v>Phường Phương Nam, Thành phố Uông Bí, Tỉnh Quảng Ninh</v>
      </c>
      <c r="C83" s="107" t="s">
        <v>860</v>
      </c>
      <c r="D83" s="99" t="s">
        <v>1746</v>
      </c>
      <c r="E83" s="99" t="s">
        <v>1739</v>
      </c>
      <c r="F83" s="97" t="s">
        <v>1886</v>
      </c>
      <c r="G83" s="104" t="s">
        <v>1920</v>
      </c>
    </row>
    <row r="84" spans="1:7" hidden="1">
      <c r="A84" s="97">
        <f t="shared" si="2"/>
        <v>83</v>
      </c>
      <c r="B84" s="97" t="str">
        <f t="shared" si="3"/>
        <v>Đất Lâm nghiệp, , Tỉnh Quảng Ninh</v>
      </c>
      <c r="C84" s="107" t="s">
        <v>1889</v>
      </c>
      <c r="D84" s="99"/>
      <c r="E84" s="99" t="s">
        <v>1739</v>
      </c>
      <c r="F84" s="97" t="s">
        <v>1921</v>
      </c>
      <c r="G84" s="104" t="s">
        <v>1922</v>
      </c>
    </row>
    <row r="85" spans="1:7" hidden="1">
      <c r="A85" s="97">
        <f t="shared" si="2"/>
        <v>84</v>
      </c>
      <c r="B85" s="97" t="str">
        <f t="shared" si="3"/>
        <v>Thị trấn Bình Liêu, Huyện Bình Liêu, Tỉnh Quảng Ninh</v>
      </c>
      <c r="C85" s="98" t="s">
        <v>861</v>
      </c>
      <c r="D85" s="99" t="s">
        <v>1759</v>
      </c>
      <c r="E85" s="99" t="s">
        <v>1739</v>
      </c>
      <c r="F85" s="97" t="s">
        <v>1886</v>
      </c>
      <c r="G85" s="100">
        <v>39255</v>
      </c>
    </row>
    <row r="86" spans="1:7" hidden="1">
      <c r="A86" s="97">
        <f t="shared" si="2"/>
        <v>85</v>
      </c>
      <c r="B86" s="97" t="str">
        <f t="shared" si="3"/>
        <v>Xã Hoành Mô, Huyện Bình Liêu, Tỉnh Quảng Ninh</v>
      </c>
      <c r="C86" s="98" t="s">
        <v>862</v>
      </c>
      <c r="D86" s="99" t="s">
        <v>1759</v>
      </c>
      <c r="E86" s="99" t="s">
        <v>1739</v>
      </c>
      <c r="F86" s="97" t="s">
        <v>1923</v>
      </c>
      <c r="G86" s="100">
        <v>43097</v>
      </c>
    </row>
    <row r="87" spans="1:7" hidden="1">
      <c r="A87" s="97">
        <f t="shared" si="2"/>
        <v>86</v>
      </c>
      <c r="B87" s="97" t="str">
        <f t="shared" si="3"/>
        <v>Xã Đồng Tâm, Huyện Bình Liêu, Tỉnh Quảng Ninh</v>
      </c>
      <c r="C87" s="98" t="s">
        <v>792</v>
      </c>
      <c r="D87" s="99" t="s">
        <v>1759</v>
      </c>
      <c r="E87" s="99" t="s">
        <v>1739</v>
      </c>
      <c r="F87" s="97" t="s">
        <v>1861</v>
      </c>
      <c r="G87" s="100">
        <v>42641</v>
      </c>
    </row>
    <row r="88" spans="1:7" hidden="1">
      <c r="A88" s="97">
        <f t="shared" si="2"/>
        <v>87</v>
      </c>
      <c r="B88" s="97" t="str">
        <f t="shared" si="3"/>
        <v>Xã Đồng Văn, Huyện Bình Liêu, Tỉnh Quảng Ninh</v>
      </c>
      <c r="C88" s="98" t="s">
        <v>863</v>
      </c>
      <c r="D88" s="99" t="s">
        <v>1759</v>
      </c>
      <c r="E88" s="99" t="s">
        <v>1739</v>
      </c>
      <c r="F88" s="97" t="s">
        <v>1873</v>
      </c>
      <c r="G88" s="100">
        <v>42537</v>
      </c>
    </row>
    <row r="89" spans="1:7" hidden="1">
      <c r="A89" s="97">
        <f t="shared" si="2"/>
        <v>88</v>
      </c>
      <c r="B89" s="97" t="str">
        <f t="shared" si="3"/>
        <v>Xã Vô Ngại, Huyện Bình Liêu, Tỉnh Quảng Ninh</v>
      </c>
      <c r="C89" s="98" t="s">
        <v>864</v>
      </c>
      <c r="D89" s="99" t="s">
        <v>1759</v>
      </c>
      <c r="E89" s="99" t="s">
        <v>1739</v>
      </c>
      <c r="F89" s="97" t="s">
        <v>1875</v>
      </c>
      <c r="G89" s="100">
        <v>43678</v>
      </c>
    </row>
    <row r="90" spans="1:7" hidden="1">
      <c r="A90" s="97">
        <f t="shared" si="2"/>
        <v>89</v>
      </c>
      <c r="B90" s="97" t="str">
        <f t="shared" si="3"/>
        <v>Xã Lục Hồn, Huyện Bình Liêu, Tỉnh Quảng Ninh</v>
      </c>
      <c r="C90" s="98" t="s">
        <v>865</v>
      </c>
      <c r="D90" s="99" t="s">
        <v>1759</v>
      </c>
      <c r="E90" s="99" t="s">
        <v>1739</v>
      </c>
      <c r="F90" s="97" t="s">
        <v>1924</v>
      </c>
      <c r="G90" s="100">
        <v>43473</v>
      </c>
    </row>
    <row r="91" spans="1:7" hidden="1">
      <c r="A91" s="97">
        <f t="shared" si="2"/>
        <v>90</v>
      </c>
      <c r="B91" s="97" t="str">
        <f t="shared" si="3"/>
        <v>Xã Húc Động, Huyện Bình Liêu, Tỉnh Quảng Ninh</v>
      </c>
      <c r="C91" s="98" t="s">
        <v>866</v>
      </c>
      <c r="D91" s="99" t="s">
        <v>1759</v>
      </c>
      <c r="E91" s="99" t="s">
        <v>1739</v>
      </c>
      <c r="F91" s="97" t="s">
        <v>1925</v>
      </c>
      <c r="G91" s="100">
        <v>42641</v>
      </c>
    </row>
    <row r="92" spans="1:7" hidden="1">
      <c r="A92" s="97">
        <f t="shared" si="2"/>
        <v>91</v>
      </c>
      <c r="B92" s="97" t="str">
        <f t="shared" si="3"/>
        <v>Xã Tình Húc, Huyện Bình Liêu, Tỉnh Quảng Ninh</v>
      </c>
      <c r="C92" s="98" t="s">
        <v>1926</v>
      </c>
      <c r="D92" s="99" t="s">
        <v>1759</v>
      </c>
      <c r="E92" s="99" t="s">
        <v>1739</v>
      </c>
      <c r="F92" s="97" t="s">
        <v>1917</v>
      </c>
      <c r="G92" s="100">
        <v>43616</v>
      </c>
    </row>
    <row r="93" spans="1:7" hidden="1">
      <c r="A93" s="97">
        <f t="shared" si="2"/>
        <v>92</v>
      </c>
      <c r="B93" s="97" t="str">
        <f t="shared" si="3"/>
        <v>Đất Lâm nghiệp, Huyện Bình Liêu, Tỉnh Quảng Ninh</v>
      </c>
      <c r="C93" s="98" t="s">
        <v>1889</v>
      </c>
      <c r="D93" s="99" t="s">
        <v>1759</v>
      </c>
      <c r="E93" s="99" t="s">
        <v>1739</v>
      </c>
      <c r="F93" s="97" t="s">
        <v>1859</v>
      </c>
      <c r="G93" s="100">
        <v>41291</v>
      </c>
    </row>
    <row r="94" spans="1:7" hidden="1">
      <c r="A94" s="97">
        <f t="shared" si="2"/>
        <v>93</v>
      </c>
      <c r="B94" s="97" t="str">
        <f t="shared" si="3"/>
        <v>Thị trấn Tiên Yên, Huyện Tiên Yên, Tỉnh Quảng Ninh</v>
      </c>
      <c r="C94" s="98" t="s">
        <v>867</v>
      </c>
      <c r="D94" s="99" t="s">
        <v>1758</v>
      </c>
      <c r="E94" s="99" t="s">
        <v>1739</v>
      </c>
      <c r="F94" s="97" t="s">
        <v>1886</v>
      </c>
      <c r="G94" s="104" t="s">
        <v>1927</v>
      </c>
    </row>
    <row r="95" spans="1:7" hidden="1">
      <c r="A95" s="97">
        <f t="shared" si="2"/>
        <v>94</v>
      </c>
      <c r="B95" s="97" t="str">
        <f t="shared" si="3"/>
        <v>Xã Hà Lâu, Huyện Tiên Yên, Tỉnh Quảng Ninh</v>
      </c>
      <c r="C95" s="98" t="s">
        <v>868</v>
      </c>
      <c r="D95" s="99" t="s">
        <v>1758</v>
      </c>
      <c r="E95" s="99" t="s">
        <v>1739</v>
      </c>
      <c r="F95" s="97" t="s">
        <v>1911</v>
      </c>
      <c r="G95" s="104" t="s">
        <v>1928</v>
      </c>
    </row>
    <row r="96" spans="1:7" hidden="1">
      <c r="A96" s="97">
        <f t="shared" si="2"/>
        <v>95</v>
      </c>
      <c r="B96" s="97" t="str">
        <f t="shared" si="3"/>
        <v>Xã Đại Dực, Huyện Tiên Yên, Tỉnh Quảng Ninh</v>
      </c>
      <c r="C96" s="98" t="s">
        <v>869</v>
      </c>
      <c r="D96" s="99" t="s">
        <v>1758</v>
      </c>
      <c r="E96" s="99" t="s">
        <v>1739</v>
      </c>
      <c r="F96" s="97" t="s">
        <v>1875</v>
      </c>
      <c r="G96" s="104" t="s">
        <v>1929</v>
      </c>
    </row>
    <row r="97" spans="1:7" hidden="1">
      <c r="A97" s="97">
        <f t="shared" si="2"/>
        <v>96</v>
      </c>
      <c r="B97" s="97" t="str">
        <f t="shared" si="3"/>
        <v>Xã Phong Dụ, Huyện Tiên Yên, Tỉnh Quảng Ninh</v>
      </c>
      <c r="C97" s="98" t="s">
        <v>870</v>
      </c>
      <c r="D97" s="99" t="s">
        <v>1758</v>
      </c>
      <c r="E97" s="99" t="s">
        <v>1739</v>
      </c>
      <c r="F97" s="97" t="s">
        <v>1911</v>
      </c>
      <c r="G97" s="104" t="s">
        <v>1930</v>
      </c>
    </row>
    <row r="98" spans="1:7" hidden="1">
      <c r="A98" s="97">
        <f t="shared" si="2"/>
        <v>97</v>
      </c>
      <c r="B98" s="97" t="str">
        <f t="shared" si="3"/>
        <v>Xã Điền Xá, Huyện Tiên Yên, Tỉnh Quảng Ninh</v>
      </c>
      <c r="C98" s="98" t="s">
        <v>871</v>
      </c>
      <c r="D98" s="99" t="s">
        <v>1758</v>
      </c>
      <c r="E98" s="99" t="s">
        <v>1739</v>
      </c>
      <c r="F98" s="97" t="s">
        <v>1911</v>
      </c>
      <c r="G98" s="104" t="s">
        <v>1931</v>
      </c>
    </row>
    <row r="99" spans="1:7" hidden="1">
      <c r="A99" s="97">
        <f t="shared" si="2"/>
        <v>98</v>
      </c>
      <c r="B99" s="97" t="str">
        <f t="shared" si="3"/>
        <v>Xã Đông Ngũ, Huyện Tiên Yên, Tỉnh Quảng Ninh</v>
      </c>
      <c r="C99" s="98" t="s">
        <v>872</v>
      </c>
      <c r="D99" s="99" t="s">
        <v>1758</v>
      </c>
      <c r="E99" s="99" t="s">
        <v>1739</v>
      </c>
      <c r="F99" s="97" t="s">
        <v>1932</v>
      </c>
      <c r="G99" s="104" t="s">
        <v>1933</v>
      </c>
    </row>
    <row r="100" spans="1:7" hidden="1">
      <c r="A100" s="97">
        <f t="shared" si="2"/>
        <v>99</v>
      </c>
      <c r="B100" s="97" t="str">
        <f t="shared" si="3"/>
        <v>Xã Yên Than, Huyện Tiên Yên, Tỉnh Quảng Ninh</v>
      </c>
      <c r="C100" s="98" t="s">
        <v>873</v>
      </c>
      <c r="D100" s="99" t="s">
        <v>1758</v>
      </c>
      <c r="E100" s="99" t="s">
        <v>1739</v>
      </c>
      <c r="F100" s="97" t="s">
        <v>1923</v>
      </c>
      <c r="G100" s="104" t="s">
        <v>1934</v>
      </c>
    </row>
    <row r="101" spans="1:7" hidden="1">
      <c r="A101" s="97">
        <f t="shared" si="2"/>
        <v>100</v>
      </c>
      <c r="B101" s="97" t="str">
        <f t="shared" si="3"/>
        <v>Xã Đông Hải, Huyện Tiên Yên, Tỉnh Quảng Ninh</v>
      </c>
      <c r="C101" s="98" t="s">
        <v>874</v>
      </c>
      <c r="D101" s="99" t="s">
        <v>1758</v>
      </c>
      <c r="E101" s="99" t="s">
        <v>1739</v>
      </c>
      <c r="F101" s="97" t="s">
        <v>1881</v>
      </c>
      <c r="G101" s="104" t="s">
        <v>1935</v>
      </c>
    </row>
    <row r="102" spans="1:7" hidden="1">
      <c r="A102" s="97">
        <f t="shared" si="2"/>
        <v>101</v>
      </c>
      <c r="B102" s="97" t="str">
        <f t="shared" si="3"/>
        <v>Xã Hải Lạng, Huyện Tiên Yên, Tỉnh Quảng Ninh</v>
      </c>
      <c r="C102" s="98" t="s">
        <v>875</v>
      </c>
      <c r="D102" s="99" t="s">
        <v>1758</v>
      </c>
      <c r="E102" s="99" t="s">
        <v>1739</v>
      </c>
      <c r="F102" s="97" t="s">
        <v>1936</v>
      </c>
      <c r="G102" s="104" t="s">
        <v>1937</v>
      </c>
    </row>
    <row r="103" spans="1:7" hidden="1">
      <c r="A103" s="97">
        <f t="shared" si="2"/>
        <v>102</v>
      </c>
      <c r="B103" s="97" t="str">
        <f t="shared" si="3"/>
        <v>Xã Tiên Lãng, Huyện Tiên Yên, Tỉnh Quảng Ninh</v>
      </c>
      <c r="C103" s="98" t="s">
        <v>876</v>
      </c>
      <c r="D103" s="99" t="s">
        <v>1758</v>
      </c>
      <c r="E103" s="99" t="s">
        <v>1739</v>
      </c>
      <c r="F103" s="97" t="s">
        <v>1932</v>
      </c>
      <c r="G103" s="104" t="s">
        <v>1933</v>
      </c>
    </row>
    <row r="104" spans="1:7" hidden="1">
      <c r="A104" s="97">
        <f t="shared" si="2"/>
        <v>103</v>
      </c>
      <c r="B104" s="97" t="str">
        <f t="shared" si="3"/>
        <v>Xã Đồng Rui, Huyện Tiên Yên, Tỉnh Quảng Ninh</v>
      </c>
      <c r="C104" s="98" t="s">
        <v>877</v>
      </c>
      <c r="D104" s="99" t="s">
        <v>1758</v>
      </c>
      <c r="E104" s="99" t="s">
        <v>1739</v>
      </c>
      <c r="F104" s="97" t="s">
        <v>1936</v>
      </c>
      <c r="G104" s="104" t="s">
        <v>1938</v>
      </c>
    </row>
    <row r="105" spans="1:7" hidden="1">
      <c r="A105" s="97">
        <f t="shared" si="2"/>
        <v>104</v>
      </c>
      <c r="B105" s="97" t="str">
        <f t="shared" si="3"/>
        <v>Đại Thành , , Tỉnh Quảng Ninh</v>
      </c>
      <c r="C105" s="98" t="s">
        <v>1939</v>
      </c>
      <c r="D105" s="99"/>
      <c r="E105" s="99" t="s">
        <v>1739</v>
      </c>
      <c r="F105" s="97" t="s">
        <v>1900</v>
      </c>
      <c r="G105" s="104" t="s">
        <v>1940</v>
      </c>
    </row>
    <row r="106" spans="1:7" hidden="1">
      <c r="A106" s="97">
        <f t="shared" si="2"/>
        <v>105</v>
      </c>
      <c r="B106" s="97" t="str">
        <f t="shared" si="3"/>
        <v>Thị trấn Đầm Hà, Huyện Đầm Hà, Tỉnh Quảng Ninh</v>
      </c>
      <c r="C106" s="98" t="s">
        <v>878</v>
      </c>
      <c r="D106" s="99" t="s">
        <v>1761</v>
      </c>
      <c r="E106" s="99" t="s">
        <v>1739</v>
      </c>
      <c r="F106" s="97" t="s">
        <v>1861</v>
      </c>
      <c r="G106" s="100">
        <v>41255</v>
      </c>
    </row>
    <row r="107" spans="1:7" hidden="1">
      <c r="A107" s="97">
        <f t="shared" si="2"/>
        <v>106</v>
      </c>
      <c r="B107" s="97" t="str">
        <f t="shared" si="3"/>
        <v>Xã Quảng Lâm, Huyện Đầm Hà, Tỉnh Quảng Ninh</v>
      </c>
      <c r="C107" s="98" t="s">
        <v>794</v>
      </c>
      <c r="D107" s="99" t="s">
        <v>1761</v>
      </c>
      <c r="E107" s="99" t="s">
        <v>1739</v>
      </c>
      <c r="F107" s="97" t="s">
        <v>1861</v>
      </c>
      <c r="G107" s="100">
        <v>41255</v>
      </c>
    </row>
    <row r="108" spans="1:7" hidden="1">
      <c r="A108" s="97">
        <f t="shared" si="2"/>
        <v>107</v>
      </c>
      <c r="B108" s="97" t="str">
        <f t="shared" si="3"/>
        <v>Xã Quảng An, Huyện Đầm Hà, Tỉnh Quảng Ninh</v>
      </c>
      <c r="C108" s="98" t="s">
        <v>879</v>
      </c>
      <c r="D108" s="99" t="s">
        <v>1761</v>
      </c>
      <c r="E108" s="99" t="s">
        <v>1739</v>
      </c>
      <c r="F108" s="97" t="s">
        <v>1941</v>
      </c>
      <c r="G108" s="100">
        <v>41267</v>
      </c>
    </row>
    <row r="109" spans="1:7" hidden="1">
      <c r="A109" s="97">
        <f t="shared" si="2"/>
        <v>108</v>
      </c>
      <c r="B109" s="97" t="str">
        <f t="shared" si="3"/>
        <v>Xã Tân Bình, Huyện Đầm Hà, Tỉnh Quảng Ninh</v>
      </c>
      <c r="C109" s="98" t="s">
        <v>880</v>
      </c>
      <c r="D109" s="99" t="s">
        <v>1761</v>
      </c>
      <c r="E109" s="99" t="s">
        <v>1739</v>
      </c>
      <c r="F109" s="97" t="s">
        <v>1870</v>
      </c>
      <c r="G109" s="100">
        <v>41390</v>
      </c>
    </row>
    <row r="110" spans="1:7">
      <c r="A110" s="97">
        <f t="shared" si="2"/>
        <v>109</v>
      </c>
      <c r="B110" s="97" t="str">
        <f t="shared" si="3"/>
        <v>Xã Dực Yên, Huyện Đầm Hà, Tỉnh Quảng Ninh</v>
      </c>
      <c r="C110" s="98" t="s">
        <v>881</v>
      </c>
      <c r="D110" s="99" t="s">
        <v>1761</v>
      </c>
      <c r="E110" s="99" t="s">
        <v>1739</v>
      </c>
      <c r="F110" s="97" t="s">
        <v>1925</v>
      </c>
      <c r="G110" s="100">
        <v>41274</v>
      </c>
    </row>
    <row r="111" spans="1:7" hidden="1">
      <c r="A111" s="97">
        <f t="shared" si="2"/>
        <v>110</v>
      </c>
      <c r="B111" s="97" t="str">
        <f t="shared" si="3"/>
        <v>Xã Quảng Tân, Huyện Đầm Hà, Tỉnh Quảng Ninh</v>
      </c>
      <c r="C111" s="98" t="s">
        <v>882</v>
      </c>
      <c r="D111" s="99" t="s">
        <v>1761</v>
      </c>
      <c r="E111" s="99" t="s">
        <v>1739</v>
      </c>
      <c r="F111" s="97" t="s">
        <v>1942</v>
      </c>
      <c r="G111" s="100">
        <v>41442</v>
      </c>
    </row>
    <row r="112" spans="1:7" hidden="1">
      <c r="A112" s="97">
        <f t="shared" si="2"/>
        <v>111</v>
      </c>
      <c r="B112" s="97" t="str">
        <f t="shared" si="3"/>
        <v>Xã Đầm Hà, Huyện Đầm Hà, Tỉnh Quảng Ninh</v>
      </c>
      <c r="C112" s="98" t="s">
        <v>883</v>
      </c>
      <c r="D112" s="99" t="s">
        <v>1761</v>
      </c>
      <c r="E112" s="99" t="s">
        <v>1739</v>
      </c>
      <c r="F112" s="97" t="s">
        <v>1861</v>
      </c>
      <c r="G112" s="100">
        <v>41255</v>
      </c>
    </row>
    <row r="113" spans="1:7" hidden="1">
      <c r="A113" s="97">
        <f t="shared" si="2"/>
        <v>112</v>
      </c>
      <c r="B113" s="97" t="str">
        <f t="shared" si="3"/>
        <v>Xã Tân Lập, Huyện Đầm Hà, Tỉnh Quảng Ninh</v>
      </c>
      <c r="C113" s="98" t="s">
        <v>786</v>
      </c>
      <c r="D113" s="99" t="s">
        <v>1761</v>
      </c>
      <c r="E113" s="99" t="s">
        <v>1739</v>
      </c>
      <c r="F113" s="97" t="s">
        <v>1943</v>
      </c>
      <c r="G113" s="100">
        <v>41295</v>
      </c>
    </row>
    <row r="114" spans="1:7" hidden="1">
      <c r="A114" s="97">
        <f t="shared" si="2"/>
        <v>113</v>
      </c>
      <c r="B114" s="97" t="str">
        <f t="shared" si="3"/>
        <v>Xã Đại Bình, Huyện Đầm Hà, Tỉnh Quảng Ninh</v>
      </c>
      <c r="C114" s="98" t="s">
        <v>884</v>
      </c>
      <c r="D114" s="99" t="s">
        <v>1761</v>
      </c>
      <c r="E114" s="99" t="s">
        <v>1739</v>
      </c>
      <c r="F114" s="97" t="s">
        <v>1925</v>
      </c>
      <c r="G114" s="100">
        <v>41274</v>
      </c>
    </row>
    <row r="115" spans="1:7" hidden="1">
      <c r="A115" s="97">
        <f t="shared" si="2"/>
        <v>114</v>
      </c>
      <c r="B115" s="97" t="str">
        <f t="shared" si="3"/>
        <v>quảng lợi, , Tỉnh Quảng Ninh</v>
      </c>
      <c r="C115" s="98" t="s">
        <v>1944</v>
      </c>
      <c r="D115" s="99"/>
      <c r="E115" s="99" t="s">
        <v>1739</v>
      </c>
      <c r="F115" s="97" t="s">
        <v>1941</v>
      </c>
      <c r="G115" s="100">
        <v>41264</v>
      </c>
    </row>
    <row r="116" spans="1:7" hidden="1">
      <c r="A116" s="97">
        <f t="shared" si="2"/>
        <v>115</v>
      </c>
      <c r="B116" s="97" t="str">
        <f t="shared" si="3"/>
        <v>Thị trấn Quảng Hà, Huyện Hải Hà, Tỉnh Quảng Ninh</v>
      </c>
      <c r="C116" s="98" t="s">
        <v>885</v>
      </c>
      <c r="D116" s="99" t="s">
        <v>1762</v>
      </c>
      <c r="E116" s="99" t="s">
        <v>1739</v>
      </c>
      <c r="F116" s="97" t="s">
        <v>1862</v>
      </c>
      <c r="G116" s="100">
        <v>43484</v>
      </c>
    </row>
    <row r="117" spans="1:7" hidden="1">
      <c r="A117" s="97">
        <f t="shared" si="2"/>
        <v>116</v>
      </c>
      <c r="B117" s="97" t="str">
        <f t="shared" si="3"/>
        <v>Xã Quảng Đức, Huyện Hải Hà, Tỉnh Quảng Ninh</v>
      </c>
      <c r="C117" s="98" t="s">
        <v>886</v>
      </c>
      <c r="D117" s="99" t="s">
        <v>1762</v>
      </c>
      <c r="E117" s="99" t="s">
        <v>1739</v>
      </c>
      <c r="F117" s="97" t="s">
        <v>1859</v>
      </c>
      <c r="G117" s="100">
        <v>41393</v>
      </c>
    </row>
    <row r="118" spans="1:7" hidden="1">
      <c r="A118" s="97">
        <f t="shared" si="2"/>
        <v>117</v>
      </c>
      <c r="B118" s="97" t="str">
        <f t="shared" si="3"/>
        <v>Xã Quảng Sơn, Huyện Hải Hà, Tỉnh Quảng Ninh</v>
      </c>
      <c r="C118" s="98" t="s">
        <v>887</v>
      </c>
      <c r="D118" s="99" t="s">
        <v>1762</v>
      </c>
      <c r="E118" s="99" t="s">
        <v>1739</v>
      </c>
      <c r="F118" s="97" t="s">
        <v>1859</v>
      </c>
      <c r="G118" s="100">
        <v>41271</v>
      </c>
    </row>
    <row r="119" spans="1:7" hidden="1">
      <c r="A119" s="97">
        <f t="shared" si="2"/>
        <v>118</v>
      </c>
      <c r="B119" s="97" t="str">
        <f t="shared" si="3"/>
        <v>Xã Quảng Thành, Huyện Hải Hà, Tỉnh Quảng Ninh</v>
      </c>
      <c r="C119" s="98" t="s">
        <v>888</v>
      </c>
      <c r="D119" s="99" t="s">
        <v>1762</v>
      </c>
      <c r="E119" s="99" t="s">
        <v>1739</v>
      </c>
    </row>
    <row r="120" spans="1:7" hidden="1">
      <c r="A120" s="97">
        <f t="shared" si="2"/>
        <v>119</v>
      </c>
      <c r="B120" s="97" t="str">
        <f t="shared" si="3"/>
        <v>quảng thắng, Huyện Hải Hà, Tỉnh Quảng Ninh</v>
      </c>
      <c r="C120" s="98" t="s">
        <v>1945</v>
      </c>
      <c r="D120" s="99" t="s">
        <v>1762</v>
      </c>
      <c r="E120" s="99" t="s">
        <v>1739</v>
      </c>
      <c r="F120" s="97" t="s">
        <v>1859</v>
      </c>
      <c r="G120" s="100">
        <v>41271</v>
      </c>
    </row>
    <row r="121" spans="1:7" hidden="1">
      <c r="A121" s="97">
        <f t="shared" si="2"/>
        <v>120</v>
      </c>
      <c r="B121" s="97" t="str">
        <f t="shared" si="3"/>
        <v>Xã Quảng Thịnh, Huyện Hải Hà, Tỉnh Quảng Ninh</v>
      </c>
      <c r="C121" s="98" t="s">
        <v>889</v>
      </c>
      <c r="D121" s="99" t="s">
        <v>1762</v>
      </c>
      <c r="E121" s="99" t="s">
        <v>1739</v>
      </c>
      <c r="F121" s="97" t="s">
        <v>1859</v>
      </c>
      <c r="G121" s="100">
        <v>41271</v>
      </c>
    </row>
    <row r="122" spans="1:7" hidden="1">
      <c r="A122" s="97">
        <f t="shared" si="2"/>
        <v>121</v>
      </c>
      <c r="B122" s="97" t="str">
        <f t="shared" si="3"/>
        <v>Xã Quảng Minh, Huyện Hải Hà, Tỉnh Quảng Ninh</v>
      </c>
      <c r="C122" s="98" t="s">
        <v>890</v>
      </c>
      <c r="D122" s="99" t="s">
        <v>1762</v>
      </c>
      <c r="E122" s="99" t="s">
        <v>1739</v>
      </c>
    </row>
    <row r="123" spans="1:7" hidden="1">
      <c r="A123" s="97">
        <f t="shared" si="2"/>
        <v>122</v>
      </c>
      <c r="B123" s="97" t="str">
        <f t="shared" si="3"/>
        <v>Xã Quảng Chính, Huyện Hải Hà, Tỉnh Quảng Ninh</v>
      </c>
      <c r="C123" s="98" t="s">
        <v>891</v>
      </c>
      <c r="D123" s="99" t="s">
        <v>1762</v>
      </c>
      <c r="E123" s="99" t="s">
        <v>1739</v>
      </c>
      <c r="F123" s="97" t="s">
        <v>1946</v>
      </c>
      <c r="G123" s="100">
        <v>40159</v>
      </c>
    </row>
    <row r="124" spans="1:7" hidden="1">
      <c r="A124" s="97">
        <f t="shared" si="2"/>
        <v>123</v>
      </c>
      <c r="B124" s="97" t="str">
        <f t="shared" si="3"/>
        <v>Xã Quảng Long, Huyện Hải Hà, Tỉnh Quảng Ninh</v>
      </c>
      <c r="C124" s="98" t="s">
        <v>892</v>
      </c>
      <c r="D124" s="99" t="s">
        <v>1762</v>
      </c>
      <c r="E124" s="99" t="s">
        <v>1739</v>
      </c>
      <c r="F124" s="97" t="s">
        <v>1859</v>
      </c>
      <c r="G124" s="100">
        <v>40889</v>
      </c>
    </row>
    <row r="125" spans="1:7" hidden="1">
      <c r="A125" s="97">
        <f t="shared" si="2"/>
        <v>124</v>
      </c>
      <c r="B125" s="97" t="str">
        <f t="shared" si="3"/>
        <v>Xã Đường Hoa, Huyện Hải Hà, Tỉnh Quảng Ninh</v>
      </c>
      <c r="C125" s="98" t="s">
        <v>893</v>
      </c>
      <c r="D125" s="99" t="s">
        <v>1762</v>
      </c>
      <c r="E125" s="99" t="s">
        <v>1739</v>
      </c>
      <c r="F125" s="97" t="s">
        <v>1859</v>
      </c>
      <c r="G125" s="100">
        <v>40889</v>
      </c>
    </row>
    <row r="126" spans="1:7" hidden="1">
      <c r="A126" s="97">
        <f t="shared" si="2"/>
        <v>125</v>
      </c>
      <c r="B126" s="97" t="str">
        <f t="shared" si="3"/>
        <v>Xã Quảng Phong, Huyện Hải Hà, Tỉnh Quảng Ninh</v>
      </c>
      <c r="C126" s="98" t="s">
        <v>894</v>
      </c>
      <c r="D126" s="99" t="s">
        <v>1762</v>
      </c>
      <c r="E126" s="99" t="s">
        <v>1739</v>
      </c>
      <c r="F126" s="97" t="s">
        <v>1862</v>
      </c>
      <c r="G126" s="100">
        <v>43494</v>
      </c>
    </row>
    <row r="127" spans="1:7" hidden="1">
      <c r="A127" s="97">
        <f t="shared" si="2"/>
        <v>126</v>
      </c>
      <c r="B127" s="97" t="str">
        <f t="shared" si="3"/>
        <v>tiến tới, , Tỉnh Quảng Ninh</v>
      </c>
      <c r="C127" s="98" t="s">
        <v>1947</v>
      </c>
      <c r="D127" s="99"/>
      <c r="E127" s="99" t="s">
        <v>1739</v>
      </c>
      <c r="F127" s="97" t="s">
        <v>1859</v>
      </c>
      <c r="G127" s="100">
        <v>41271</v>
      </c>
    </row>
    <row r="128" spans="1:7" hidden="1">
      <c r="A128" s="97">
        <f t="shared" si="2"/>
        <v>127</v>
      </c>
      <c r="B128" s="97" t="str">
        <f t="shared" si="3"/>
        <v>Phú Hải, Huyện Hải Hà, Tỉnh Quảng Ninh</v>
      </c>
      <c r="C128" s="98" t="s">
        <v>1948</v>
      </c>
      <c r="D128" s="99" t="s">
        <v>1762</v>
      </c>
      <c r="E128" s="99" t="s">
        <v>1739</v>
      </c>
      <c r="F128" s="97" t="s">
        <v>1859</v>
      </c>
      <c r="G128" s="100">
        <v>40132</v>
      </c>
    </row>
    <row r="129" spans="1:7" hidden="1">
      <c r="A129" s="97">
        <f t="shared" si="2"/>
        <v>128</v>
      </c>
      <c r="B129" s="97" t="str">
        <f t="shared" si="3"/>
        <v>Quảng điền, Huyện Hải Hà, Tỉnh Quảng Ninh</v>
      </c>
      <c r="C129" s="98" t="s">
        <v>1949</v>
      </c>
      <c r="D129" s="99" t="s">
        <v>1762</v>
      </c>
      <c r="E129" s="99" t="s">
        <v>1739</v>
      </c>
      <c r="F129" s="97" t="s">
        <v>1862</v>
      </c>
      <c r="G129" s="100">
        <v>43494</v>
      </c>
    </row>
    <row r="130" spans="1:7" hidden="1">
      <c r="A130" s="97">
        <f t="shared" si="2"/>
        <v>129</v>
      </c>
      <c r="B130" s="97" t="str">
        <f t="shared" si="3"/>
        <v>Xã Cái Chiên, Huyện Hải Hà, Tỉnh Quảng Ninh</v>
      </c>
      <c r="C130" s="98" t="s">
        <v>895</v>
      </c>
      <c r="D130" s="99" t="s">
        <v>1762</v>
      </c>
      <c r="E130" s="99" t="s">
        <v>1739</v>
      </c>
      <c r="F130" s="97" t="s">
        <v>1950</v>
      </c>
      <c r="G130" s="100">
        <v>41620</v>
      </c>
    </row>
    <row r="131" spans="1:7" hidden="1">
      <c r="A131" s="97">
        <f t="shared" ref="A131:A194" si="4">ROW()-1</f>
        <v>130</v>
      </c>
      <c r="B131" s="97" t="str">
        <f t="shared" ref="B131:B194" si="5">C131&amp;", "&amp;D131&amp;", "&amp;E131</f>
        <v>Đất Lâm nghiệp, , Tỉnh Quảng Ninh</v>
      </c>
      <c r="C131" s="98" t="s">
        <v>1889</v>
      </c>
      <c r="D131" s="99"/>
      <c r="E131" s="99" t="s">
        <v>1739</v>
      </c>
      <c r="F131" s="97" t="s">
        <v>1859</v>
      </c>
      <c r="G131" s="106" t="s">
        <v>1951</v>
      </c>
    </row>
    <row r="132" spans="1:7" hidden="1">
      <c r="A132" s="97">
        <f t="shared" si="4"/>
        <v>131</v>
      </c>
      <c r="B132" s="97" t="str">
        <f t="shared" si="5"/>
        <v>Thị trấn Ba Chẽ, Huyện Ba Chẽ, Tỉnh Quảng Ninh</v>
      </c>
      <c r="C132" s="98" t="s">
        <v>896</v>
      </c>
      <c r="D132" s="99" t="s">
        <v>1764</v>
      </c>
      <c r="E132" s="99" t="s">
        <v>1739</v>
      </c>
      <c r="F132" s="97" t="s">
        <v>1886</v>
      </c>
      <c r="G132" s="100">
        <v>39321</v>
      </c>
    </row>
    <row r="133" spans="1:7" hidden="1">
      <c r="A133" s="97">
        <f t="shared" si="4"/>
        <v>132</v>
      </c>
      <c r="B133" s="97" t="str">
        <f t="shared" si="5"/>
        <v>Tất cả ba chẽ (Lâm nghiệp), Huyện Ba Chẽ, Tỉnh Quảng Ninh</v>
      </c>
      <c r="C133" s="98" t="s">
        <v>1952</v>
      </c>
      <c r="D133" s="99" t="s">
        <v>1764</v>
      </c>
      <c r="E133" s="99" t="s">
        <v>1739</v>
      </c>
      <c r="F133" s="97" t="s">
        <v>1859</v>
      </c>
      <c r="G133" s="100">
        <v>41981</v>
      </c>
    </row>
    <row r="134" spans="1:7" hidden="1">
      <c r="A134" s="97">
        <f t="shared" si="4"/>
        <v>133</v>
      </c>
      <c r="B134" s="97" t="str">
        <f t="shared" si="5"/>
        <v>Xã Thanh Sơn, Huyện Ba Chẽ, Tỉnh Quảng Ninh</v>
      </c>
      <c r="C134" s="98" t="s">
        <v>801</v>
      </c>
      <c r="D134" s="99" t="s">
        <v>1764</v>
      </c>
      <c r="E134" s="99" t="s">
        <v>1739</v>
      </c>
      <c r="F134" s="97" t="s">
        <v>1861</v>
      </c>
      <c r="G134" s="100">
        <v>42871</v>
      </c>
    </row>
    <row r="135" spans="1:7" hidden="1">
      <c r="A135" s="97">
        <f t="shared" si="4"/>
        <v>134</v>
      </c>
      <c r="B135" s="97" t="str">
        <f t="shared" si="5"/>
        <v>Xã Thanh Lâm, Huyện Ba Chẽ, Tỉnh Quảng Ninh</v>
      </c>
      <c r="C135" s="98" t="s">
        <v>782</v>
      </c>
      <c r="D135" s="99" t="s">
        <v>1764</v>
      </c>
      <c r="E135" s="99" t="s">
        <v>1739</v>
      </c>
      <c r="F135" s="97" t="s">
        <v>1953</v>
      </c>
      <c r="G135" s="100">
        <v>42887</v>
      </c>
    </row>
    <row r="136" spans="1:7" hidden="1">
      <c r="A136" s="97">
        <f t="shared" si="4"/>
        <v>135</v>
      </c>
      <c r="B136" s="97" t="str">
        <f t="shared" si="5"/>
        <v>Xã Đạp Thanh, Huyện Ba Chẽ, Tỉnh Quảng Ninh</v>
      </c>
      <c r="C136" s="98" t="s">
        <v>897</v>
      </c>
      <c r="D136" s="99" t="s">
        <v>1764</v>
      </c>
      <c r="E136" s="99" t="s">
        <v>1739</v>
      </c>
      <c r="F136" s="97" t="s">
        <v>1859</v>
      </c>
      <c r="G136" s="100">
        <v>42896</v>
      </c>
    </row>
    <row r="137" spans="1:7" hidden="1">
      <c r="A137" s="97">
        <f t="shared" si="4"/>
        <v>136</v>
      </c>
      <c r="B137" s="97" t="str">
        <f t="shared" si="5"/>
        <v>Xã Nam Sơn, Huyện Ba Chẽ, Tỉnh Quảng Ninh</v>
      </c>
      <c r="C137" s="98" t="s">
        <v>780</v>
      </c>
      <c r="D137" s="99" t="s">
        <v>1764</v>
      </c>
      <c r="E137" s="99" t="s">
        <v>1739</v>
      </c>
      <c r="F137" s="97" t="s">
        <v>1869</v>
      </c>
      <c r="G137" s="100">
        <v>42916</v>
      </c>
    </row>
    <row r="138" spans="1:7" hidden="1">
      <c r="A138" s="97">
        <f t="shared" si="4"/>
        <v>137</v>
      </c>
      <c r="B138" s="97" t="str">
        <f t="shared" si="5"/>
        <v>Xã Lương Minh, Huyện Ba Chẽ, Tỉnh Quảng Ninh</v>
      </c>
      <c r="C138" s="98" t="s">
        <v>1766</v>
      </c>
      <c r="D138" s="99" t="s">
        <v>1764</v>
      </c>
      <c r="E138" s="99" t="s">
        <v>1739</v>
      </c>
    </row>
    <row r="139" spans="1:7" hidden="1">
      <c r="A139" s="97">
        <f t="shared" si="4"/>
        <v>138</v>
      </c>
      <c r="B139" s="97" t="str">
        <f t="shared" si="5"/>
        <v>Xã Đồn Đạc, Huyện Ba Chẽ, Tỉnh Quảng Ninh</v>
      </c>
      <c r="C139" s="98" t="s">
        <v>898</v>
      </c>
      <c r="D139" s="99" t="s">
        <v>1764</v>
      </c>
      <c r="E139" s="99" t="s">
        <v>1739</v>
      </c>
      <c r="F139" s="97" t="s">
        <v>1863</v>
      </c>
      <c r="G139" s="100">
        <v>42944</v>
      </c>
    </row>
    <row r="140" spans="1:7" hidden="1">
      <c r="A140" s="97">
        <f t="shared" si="4"/>
        <v>139</v>
      </c>
      <c r="B140" s="97" t="str">
        <f t="shared" si="5"/>
        <v>Lương Mông, Huyện Ba Chẽ, Tỉnh Quảng Ninh</v>
      </c>
      <c r="C140" s="98" t="s">
        <v>1954</v>
      </c>
      <c r="D140" s="99" t="s">
        <v>1764</v>
      </c>
      <c r="E140" s="99" t="s">
        <v>1739</v>
      </c>
      <c r="F140" s="97" t="s">
        <v>1955</v>
      </c>
      <c r="G140" s="100">
        <v>42892</v>
      </c>
    </row>
    <row r="141" spans="1:7" hidden="1">
      <c r="A141" s="97">
        <f t="shared" si="4"/>
        <v>140</v>
      </c>
      <c r="B141" s="97" t="str">
        <f t="shared" si="5"/>
        <v>Minh Cầm, Huyện Ba Chẽ, Tỉnh Quảng Ninh</v>
      </c>
      <c r="C141" s="98" t="s">
        <v>1956</v>
      </c>
      <c r="D141" s="99" t="s">
        <v>1764</v>
      </c>
      <c r="E141" s="99" t="s">
        <v>1739</v>
      </c>
      <c r="F141" s="97" t="s">
        <v>1873</v>
      </c>
      <c r="G141" s="100">
        <v>42891</v>
      </c>
    </row>
    <row r="142" spans="1:7" hidden="1">
      <c r="A142" s="97">
        <f t="shared" si="4"/>
        <v>141</v>
      </c>
      <c r="B142" s="97" t="str">
        <f t="shared" si="5"/>
        <v>Thị trấn Cái Rồng, Huyện Vân Đồn, Tỉnh Quảng Ninh</v>
      </c>
      <c r="C142" s="98" t="s">
        <v>899</v>
      </c>
      <c r="D142" s="99" t="s">
        <v>1767</v>
      </c>
      <c r="E142" s="99" t="s">
        <v>1739</v>
      </c>
      <c r="F142" s="97" t="s">
        <v>1886</v>
      </c>
      <c r="G142" s="104" t="s">
        <v>1957</v>
      </c>
    </row>
    <row r="143" spans="1:7" hidden="1">
      <c r="A143" s="97">
        <f t="shared" si="4"/>
        <v>142</v>
      </c>
      <c r="B143" s="97" t="str">
        <f t="shared" si="5"/>
        <v>Xã Đài Xuyên, Huyện Vân Đồn, Tỉnh Quảng Ninh</v>
      </c>
      <c r="C143" s="98" t="s">
        <v>900</v>
      </c>
      <c r="D143" s="99" t="s">
        <v>1767</v>
      </c>
      <c r="E143" s="99" t="s">
        <v>1739</v>
      </c>
      <c r="F143" s="97" t="s">
        <v>1902</v>
      </c>
      <c r="G143" s="104" t="s">
        <v>1958</v>
      </c>
    </row>
    <row r="144" spans="1:7" hidden="1">
      <c r="A144" s="97">
        <f t="shared" si="4"/>
        <v>143</v>
      </c>
      <c r="B144" s="97" t="str">
        <f t="shared" si="5"/>
        <v>Xã Bình Dân, Huyện Vân Đồn, Tỉnh Quảng Ninh</v>
      </c>
      <c r="C144" s="98" t="s">
        <v>901</v>
      </c>
      <c r="D144" s="99" t="s">
        <v>1767</v>
      </c>
      <c r="E144" s="99" t="s">
        <v>1739</v>
      </c>
      <c r="F144" s="97" t="s">
        <v>1923</v>
      </c>
      <c r="G144" s="104" t="s">
        <v>1959</v>
      </c>
    </row>
    <row r="145" spans="1:7" hidden="1">
      <c r="A145" s="97">
        <f t="shared" si="4"/>
        <v>144</v>
      </c>
      <c r="B145" s="97" t="str">
        <f t="shared" si="5"/>
        <v>Xã Vạn Yên, Huyện Vân Đồn, Tỉnh Quảng Ninh</v>
      </c>
      <c r="C145" s="98" t="s">
        <v>783</v>
      </c>
      <c r="D145" s="99" t="s">
        <v>1767</v>
      </c>
      <c r="E145" s="99" t="s">
        <v>1739</v>
      </c>
      <c r="F145" s="97" t="s">
        <v>1960</v>
      </c>
      <c r="G145" s="104" t="s">
        <v>1961</v>
      </c>
    </row>
    <row r="146" spans="1:7" hidden="1">
      <c r="A146" s="97">
        <f t="shared" si="4"/>
        <v>145</v>
      </c>
      <c r="B146" s="97" t="str">
        <f t="shared" si="5"/>
        <v>Xã Minh Châu, Huyện Vân Đồn, Tỉnh Quảng Ninh</v>
      </c>
      <c r="C146" s="98" t="s">
        <v>785</v>
      </c>
      <c r="D146" s="99" t="s">
        <v>1767</v>
      </c>
      <c r="E146" s="99" t="s">
        <v>1739</v>
      </c>
      <c r="F146" s="97" t="s">
        <v>1911</v>
      </c>
      <c r="G146" s="104" t="s">
        <v>1962</v>
      </c>
    </row>
    <row r="147" spans="1:7" hidden="1">
      <c r="A147" s="97">
        <f t="shared" si="4"/>
        <v>146</v>
      </c>
      <c r="B147" s="97" t="str">
        <f t="shared" si="5"/>
        <v>Xã Đoàn Kết, Huyện Vân Đồn, Tỉnh Quảng Ninh</v>
      </c>
      <c r="C147" s="98" t="s">
        <v>800</v>
      </c>
      <c r="D147" s="99" t="s">
        <v>1767</v>
      </c>
      <c r="E147" s="99" t="s">
        <v>1739</v>
      </c>
      <c r="F147" s="97" t="s">
        <v>1886</v>
      </c>
      <c r="G147" s="104" t="s">
        <v>1963</v>
      </c>
    </row>
    <row r="148" spans="1:7" hidden="1">
      <c r="A148" s="97">
        <f t="shared" si="4"/>
        <v>147</v>
      </c>
      <c r="B148" s="97" t="str">
        <f t="shared" si="5"/>
        <v>Xã Hạ Long, Huyện Vân Đồn, Tỉnh Quảng Ninh</v>
      </c>
      <c r="C148" s="98" t="s">
        <v>902</v>
      </c>
      <c r="D148" s="99" t="s">
        <v>1767</v>
      </c>
      <c r="E148" s="99" t="s">
        <v>1739</v>
      </c>
      <c r="F148" s="97" t="s">
        <v>1886</v>
      </c>
      <c r="G148" s="104" t="s">
        <v>1957</v>
      </c>
    </row>
    <row r="149" spans="1:7" hidden="1">
      <c r="A149" s="97">
        <f t="shared" si="4"/>
        <v>148</v>
      </c>
      <c r="B149" s="97" t="str">
        <f t="shared" si="5"/>
        <v>Xã Đông Xá, Huyện Vân Đồn, Tỉnh Quảng Ninh</v>
      </c>
      <c r="C149" s="98" t="s">
        <v>903</v>
      </c>
      <c r="D149" s="99" t="s">
        <v>1767</v>
      </c>
      <c r="E149" s="99" t="s">
        <v>1739</v>
      </c>
      <c r="F149" s="97" t="s">
        <v>1881</v>
      </c>
      <c r="G149" s="104" t="s">
        <v>1964</v>
      </c>
    </row>
    <row r="150" spans="1:7" hidden="1">
      <c r="A150" s="97">
        <f t="shared" si="4"/>
        <v>149</v>
      </c>
      <c r="B150" s="97" t="str">
        <f t="shared" si="5"/>
        <v>Xã Bản Sen, Huyện Vân Đồn, Tỉnh Quảng Ninh</v>
      </c>
      <c r="C150" s="98" t="s">
        <v>797</v>
      </c>
      <c r="D150" s="99" t="s">
        <v>1767</v>
      </c>
      <c r="E150" s="99" t="s">
        <v>1739</v>
      </c>
      <c r="F150" s="97" t="s">
        <v>1965</v>
      </c>
      <c r="G150" s="100">
        <v>40889</v>
      </c>
    </row>
    <row r="151" spans="1:7" hidden="1">
      <c r="A151" s="97">
        <f t="shared" si="4"/>
        <v>150</v>
      </c>
      <c r="B151" s="97" t="str">
        <f t="shared" si="5"/>
        <v>Xã Thắng Lợi, Huyện Vân Đồn, Tỉnh Quảng Ninh</v>
      </c>
      <c r="C151" s="98" t="s">
        <v>789</v>
      </c>
      <c r="D151" s="99" t="s">
        <v>1767</v>
      </c>
      <c r="E151" s="99" t="s">
        <v>1739</v>
      </c>
      <c r="F151" s="97" t="s">
        <v>1960</v>
      </c>
      <c r="G151" s="100">
        <v>41255</v>
      </c>
    </row>
    <row r="152" spans="1:7" hidden="1">
      <c r="A152" s="97">
        <f t="shared" si="4"/>
        <v>151</v>
      </c>
      <c r="B152" s="97" t="str">
        <f t="shared" si="5"/>
        <v>Xã Quan Lạn, Huyện Vân Đồn, Tỉnh Quảng Ninh</v>
      </c>
      <c r="C152" s="98" t="s">
        <v>904</v>
      </c>
      <c r="D152" s="99" t="s">
        <v>1767</v>
      </c>
      <c r="E152" s="99" t="s">
        <v>1739</v>
      </c>
      <c r="F152" s="97" t="s">
        <v>1859</v>
      </c>
      <c r="G152" s="104" t="s">
        <v>1966</v>
      </c>
    </row>
    <row r="153" spans="1:7" hidden="1">
      <c r="A153" s="97">
        <f t="shared" si="4"/>
        <v>152</v>
      </c>
      <c r="B153" s="97" t="str">
        <f t="shared" si="5"/>
        <v>Xã Ngọc Vừng, Huyện Vân Đồn, Tỉnh Quảng Ninh</v>
      </c>
      <c r="C153" s="98" t="s">
        <v>905</v>
      </c>
      <c r="D153" s="99" t="s">
        <v>1767</v>
      </c>
      <c r="E153" s="99" t="s">
        <v>1739</v>
      </c>
      <c r="F153" s="97" t="s">
        <v>1967</v>
      </c>
      <c r="G153" s="104" t="s">
        <v>1968</v>
      </c>
    </row>
    <row r="154" spans="1:7" hidden="1">
      <c r="A154" s="97">
        <f t="shared" si="4"/>
        <v>153</v>
      </c>
      <c r="B154" s="97" t="str">
        <f t="shared" si="5"/>
        <v>Đất Lâm nghiệp, , Tỉnh Quảng Ninh</v>
      </c>
      <c r="C154" s="98" t="s">
        <v>1889</v>
      </c>
      <c r="D154" s="99"/>
      <c r="E154" s="99" t="s">
        <v>1739</v>
      </c>
      <c r="F154" s="97" t="s">
        <v>1859</v>
      </c>
      <c r="G154" s="104" t="s">
        <v>1969</v>
      </c>
    </row>
    <row r="155" spans="1:7" hidden="1">
      <c r="A155" s="97">
        <f t="shared" si="4"/>
        <v>154</v>
      </c>
      <c r="B155" s="97" t="str">
        <f t="shared" si="5"/>
        <v>Phường Mạo Khê, Thành phố Đông Triều, Tỉnh Quảng Ninh</v>
      </c>
      <c r="C155" s="98" t="s">
        <v>906</v>
      </c>
      <c r="D155" s="99" t="s">
        <v>1749</v>
      </c>
      <c r="E155" s="99" t="s">
        <v>1739</v>
      </c>
      <c r="F155" s="97" t="s">
        <v>1965</v>
      </c>
      <c r="G155" s="100">
        <v>40893</v>
      </c>
    </row>
    <row r="156" spans="1:7" hidden="1">
      <c r="A156" s="97">
        <f t="shared" si="4"/>
        <v>155</v>
      </c>
      <c r="B156" s="97" t="str">
        <f t="shared" si="5"/>
        <v>Xã An Sinh, Thành phố Đông Triều, Tỉnh Quảng Ninh</v>
      </c>
      <c r="C156" s="98" t="s">
        <v>908</v>
      </c>
      <c r="D156" s="99" t="s">
        <v>1749</v>
      </c>
      <c r="E156" s="99" t="s">
        <v>1739</v>
      </c>
      <c r="F156" s="97" t="s">
        <v>1861</v>
      </c>
      <c r="G156" s="100">
        <v>40892</v>
      </c>
    </row>
    <row r="157" spans="1:7" hidden="1">
      <c r="A157" s="97">
        <f t="shared" si="4"/>
        <v>156</v>
      </c>
      <c r="B157" s="97" t="str">
        <f t="shared" si="5"/>
        <v>Xã Tràng Lương, Thành phố Đông Triều, Tỉnh Quảng Ninh</v>
      </c>
      <c r="C157" s="98" t="s">
        <v>909</v>
      </c>
      <c r="D157" s="99" t="s">
        <v>1749</v>
      </c>
      <c r="E157" s="99" t="s">
        <v>1739</v>
      </c>
      <c r="F157" s="97" t="s">
        <v>1960</v>
      </c>
      <c r="G157" s="100">
        <v>41255</v>
      </c>
    </row>
    <row r="158" spans="1:7" hidden="1">
      <c r="A158" s="97">
        <f t="shared" si="4"/>
        <v>157</v>
      </c>
      <c r="B158" s="97" t="str">
        <f t="shared" si="5"/>
        <v>Phường Bình Khê, Thành phố Đông Triều, Tỉnh Quảng Ninh</v>
      </c>
      <c r="C158" s="98" t="s">
        <v>1750</v>
      </c>
      <c r="D158" s="99" t="s">
        <v>1749</v>
      </c>
      <c r="E158" s="99" t="s">
        <v>1739</v>
      </c>
      <c r="F158" s="97" t="s">
        <v>1861</v>
      </c>
      <c r="G158" s="100">
        <v>40892</v>
      </c>
    </row>
    <row r="159" spans="1:7" hidden="1">
      <c r="A159" s="97">
        <f t="shared" si="4"/>
        <v>158</v>
      </c>
      <c r="B159" s="97" t="str">
        <f t="shared" si="5"/>
        <v>Xã Việt Dân, Thành phố Đông Triều, Tỉnh Quảng Ninh</v>
      </c>
      <c r="C159" s="98" t="s">
        <v>910</v>
      </c>
      <c r="D159" s="99" t="s">
        <v>1749</v>
      </c>
      <c r="E159" s="99" t="s">
        <v>1739</v>
      </c>
      <c r="F159" s="97" t="s">
        <v>1900</v>
      </c>
      <c r="G159" s="100">
        <v>40883</v>
      </c>
    </row>
    <row r="160" spans="1:7" hidden="1">
      <c r="A160" s="97">
        <f t="shared" si="4"/>
        <v>159</v>
      </c>
      <c r="B160" s="97" t="str">
        <f t="shared" si="5"/>
        <v>Phường Bình Dương, Thành phố Đông Triều, Tỉnh Quảng Ninh</v>
      </c>
      <c r="C160" s="98" t="s">
        <v>1751</v>
      </c>
      <c r="D160" s="99" t="s">
        <v>1749</v>
      </c>
      <c r="E160" s="99" t="s">
        <v>1739</v>
      </c>
      <c r="F160" s="97" t="s">
        <v>1900</v>
      </c>
      <c r="G160" s="100">
        <v>40883</v>
      </c>
    </row>
    <row r="161" spans="1:7" hidden="1">
      <c r="A161" s="97">
        <f t="shared" si="4"/>
        <v>160</v>
      </c>
      <c r="B161" s="97" t="str">
        <f t="shared" si="5"/>
        <v>Phường Đức Chính, Thành phố Đông Triều, Tỉnh Quảng Ninh</v>
      </c>
      <c r="C161" s="98" t="s">
        <v>911</v>
      </c>
      <c r="D161" s="99" t="s">
        <v>1749</v>
      </c>
      <c r="E161" s="99" t="s">
        <v>1739</v>
      </c>
      <c r="F161" s="97" t="s">
        <v>1900</v>
      </c>
      <c r="G161" s="100">
        <v>41080</v>
      </c>
    </row>
    <row r="162" spans="1:7" hidden="1">
      <c r="A162" s="97">
        <f t="shared" si="4"/>
        <v>161</v>
      </c>
      <c r="B162" s="97" t="str">
        <f t="shared" si="5"/>
        <v>Phường Tràng An, Thành phố Đông Triều, Tỉnh Quảng Ninh</v>
      </c>
      <c r="C162" s="98" t="s">
        <v>912</v>
      </c>
      <c r="D162" s="99" t="s">
        <v>1749</v>
      </c>
      <c r="E162" s="99" t="s">
        <v>1739</v>
      </c>
      <c r="F162" s="97" t="s">
        <v>1970</v>
      </c>
      <c r="G162" s="100">
        <v>40889</v>
      </c>
    </row>
    <row r="163" spans="1:7" hidden="1">
      <c r="A163" s="97">
        <f t="shared" si="4"/>
        <v>162</v>
      </c>
      <c r="B163" s="97" t="str">
        <f t="shared" si="5"/>
        <v>Xã Nguyễn Huệ, Thành phố Đông Triều, Tỉnh Quảng Ninh</v>
      </c>
      <c r="C163" s="98" t="s">
        <v>796</v>
      </c>
      <c r="D163" s="99" t="s">
        <v>1749</v>
      </c>
      <c r="E163" s="99" t="s">
        <v>1739</v>
      </c>
      <c r="F163" s="97" t="s">
        <v>1860</v>
      </c>
      <c r="G163" s="100">
        <v>40905</v>
      </c>
    </row>
    <row r="164" spans="1:7" hidden="1">
      <c r="A164" s="97">
        <f t="shared" si="4"/>
        <v>163</v>
      </c>
      <c r="B164" s="97" t="str">
        <f t="shared" si="5"/>
        <v>Phường Thủy An, Thành phố Đông Triều, Tỉnh Quảng Ninh</v>
      </c>
      <c r="C164" s="98" t="s">
        <v>1752</v>
      </c>
      <c r="D164" s="99" t="s">
        <v>1749</v>
      </c>
      <c r="E164" s="99" t="s">
        <v>1739</v>
      </c>
      <c r="F164" s="97" t="s">
        <v>1860</v>
      </c>
      <c r="G164" s="100">
        <v>40893</v>
      </c>
    </row>
    <row r="165" spans="1:7" hidden="1">
      <c r="A165" s="97">
        <f t="shared" si="4"/>
        <v>164</v>
      </c>
      <c r="B165" s="97" t="str">
        <f t="shared" si="5"/>
        <v>Phường Xuân Sơn, Thành phố Đông Triều, Tỉnh Quảng Ninh</v>
      </c>
      <c r="C165" s="98" t="s">
        <v>913</v>
      </c>
      <c r="D165" s="99" t="s">
        <v>1749</v>
      </c>
      <c r="E165" s="99" t="s">
        <v>1739</v>
      </c>
      <c r="F165" s="97" t="s">
        <v>1864</v>
      </c>
      <c r="G165" s="100">
        <v>40879</v>
      </c>
    </row>
    <row r="166" spans="1:7" hidden="1">
      <c r="A166" s="97">
        <f t="shared" si="4"/>
        <v>165</v>
      </c>
      <c r="B166" s="97" t="str">
        <f t="shared" si="5"/>
        <v>Xã Hồng Thái Tây, Thành phố Đông Triều, Tỉnh Quảng Ninh</v>
      </c>
      <c r="C166" s="98" t="s">
        <v>914</v>
      </c>
      <c r="D166" s="99" t="s">
        <v>1749</v>
      </c>
      <c r="E166" s="99" t="s">
        <v>1739</v>
      </c>
      <c r="F166" s="97" t="s">
        <v>1870</v>
      </c>
      <c r="G166" s="100">
        <v>41055</v>
      </c>
    </row>
    <row r="167" spans="1:7" hidden="1">
      <c r="A167" s="97">
        <f t="shared" si="4"/>
        <v>166</v>
      </c>
      <c r="B167" s="97" t="str">
        <f t="shared" si="5"/>
        <v>Xã Hồng Thái Đông, Thành phố Đông Triều, Tỉnh Quảng Ninh</v>
      </c>
      <c r="C167" s="98" t="s">
        <v>915</v>
      </c>
      <c r="D167" s="99" t="s">
        <v>1749</v>
      </c>
      <c r="E167" s="99" t="s">
        <v>1739</v>
      </c>
      <c r="F167" s="97" t="s">
        <v>1870</v>
      </c>
      <c r="G167" s="100">
        <v>41055</v>
      </c>
    </row>
    <row r="168" spans="1:7" hidden="1">
      <c r="A168" s="97">
        <f t="shared" si="4"/>
        <v>167</v>
      </c>
      <c r="B168" s="97" t="str">
        <f t="shared" si="5"/>
        <v>Phường Hoàng Quế, Thành phố Đông Triều, Tỉnh Quảng Ninh</v>
      </c>
      <c r="C168" s="98" t="s">
        <v>916</v>
      </c>
      <c r="D168" s="99" t="s">
        <v>1749</v>
      </c>
      <c r="E168" s="99" t="s">
        <v>1739</v>
      </c>
      <c r="F168" s="97" t="s">
        <v>1870</v>
      </c>
      <c r="G168" s="100">
        <v>41067</v>
      </c>
    </row>
    <row r="169" spans="1:7" hidden="1">
      <c r="A169" s="97">
        <f t="shared" si="4"/>
        <v>168</v>
      </c>
      <c r="B169" s="97" t="str">
        <f t="shared" si="5"/>
        <v>Phường Yên Thọ, Thành phố Đông Triều, Tỉnh Quảng Ninh</v>
      </c>
      <c r="C169" s="98" t="s">
        <v>917</v>
      </c>
      <c r="D169" s="99" t="s">
        <v>1749</v>
      </c>
      <c r="E169" s="99" t="s">
        <v>1739</v>
      </c>
      <c r="F169" s="97" t="s">
        <v>1965</v>
      </c>
      <c r="G169" s="100">
        <v>40889</v>
      </c>
    </row>
    <row r="170" spans="1:7" hidden="1">
      <c r="A170" s="97">
        <f t="shared" si="4"/>
        <v>169</v>
      </c>
      <c r="B170" s="97" t="str">
        <f t="shared" si="5"/>
        <v>Phường Hồng Phong, Thành phố Đông Triều, Tỉnh Quảng Ninh</v>
      </c>
      <c r="C170" s="98" t="s">
        <v>918</v>
      </c>
      <c r="D170" s="99" t="s">
        <v>1749</v>
      </c>
      <c r="E170" s="99" t="s">
        <v>1739</v>
      </c>
      <c r="F170" s="97" t="s">
        <v>1860</v>
      </c>
      <c r="G170" s="100">
        <v>40906</v>
      </c>
    </row>
    <row r="171" spans="1:7" hidden="1">
      <c r="A171" s="97">
        <f t="shared" si="4"/>
        <v>170</v>
      </c>
      <c r="B171" s="97" t="str">
        <f t="shared" si="5"/>
        <v>Phường Kim Sơn, Thành phố Đông Triều, Tỉnh Quảng Ninh</v>
      </c>
      <c r="C171" s="98" t="s">
        <v>919</v>
      </c>
      <c r="D171" s="99" t="s">
        <v>1749</v>
      </c>
      <c r="E171" s="99" t="s">
        <v>1739</v>
      </c>
      <c r="F171" s="97" t="s">
        <v>1870</v>
      </c>
      <c r="G171" s="100">
        <v>41066</v>
      </c>
    </row>
    <row r="172" spans="1:7" hidden="1">
      <c r="A172" s="97">
        <f t="shared" si="4"/>
        <v>171</v>
      </c>
      <c r="B172" s="97" t="str">
        <f t="shared" si="5"/>
        <v>Phường Hưng Đạo, Thành phố Đông Triều, Tỉnh Quảng Ninh</v>
      </c>
      <c r="C172" s="98" t="s">
        <v>920</v>
      </c>
      <c r="D172" s="99" t="s">
        <v>1749</v>
      </c>
      <c r="E172" s="99" t="s">
        <v>1739</v>
      </c>
      <c r="F172" s="97" t="s">
        <v>1860</v>
      </c>
      <c r="G172" s="100">
        <v>40906</v>
      </c>
    </row>
    <row r="173" spans="1:7" hidden="1">
      <c r="A173" s="97">
        <f t="shared" si="4"/>
        <v>172</v>
      </c>
      <c r="B173" s="97" t="str">
        <f t="shared" si="5"/>
        <v>tân việt, Thành phố Đông Triều, Tỉnh Quảng Ninh</v>
      </c>
      <c r="C173" s="98" t="s">
        <v>1971</v>
      </c>
      <c r="D173" s="99" t="s">
        <v>1749</v>
      </c>
      <c r="E173" s="99" t="s">
        <v>1739</v>
      </c>
      <c r="F173" s="97" t="s">
        <v>1900</v>
      </c>
      <c r="G173" s="100">
        <v>40883</v>
      </c>
    </row>
    <row r="174" spans="1:7" hidden="1">
      <c r="A174" s="97">
        <f t="shared" si="4"/>
        <v>173</v>
      </c>
      <c r="B174" s="97" t="str">
        <f t="shared" si="5"/>
        <v>thị trấn đông triều, Thành phố Đông Triều, Tỉnh Quảng Ninh</v>
      </c>
      <c r="C174" s="98" t="s">
        <v>1972</v>
      </c>
      <c r="D174" s="99" t="s">
        <v>1749</v>
      </c>
      <c r="E174" s="99" t="s">
        <v>1739</v>
      </c>
      <c r="F174" s="97" t="s">
        <v>1946</v>
      </c>
      <c r="G174" s="100">
        <v>40381</v>
      </c>
    </row>
    <row r="175" spans="1:7" hidden="1">
      <c r="A175" s="97">
        <f t="shared" si="4"/>
        <v>174</v>
      </c>
      <c r="B175" s="97" t="str">
        <f t="shared" si="5"/>
        <v>Đất Lâm nghiệp, , Tỉnh Quảng Ninh</v>
      </c>
      <c r="C175" s="98" t="s">
        <v>1889</v>
      </c>
      <c r="D175" s="99"/>
      <c r="E175" s="99" t="s">
        <v>1739</v>
      </c>
      <c r="F175" s="97" t="s">
        <v>1859</v>
      </c>
      <c r="G175" s="106" t="s">
        <v>1973</v>
      </c>
    </row>
    <row r="176" spans="1:7" hidden="1">
      <c r="A176" s="97">
        <f t="shared" si="4"/>
        <v>175</v>
      </c>
      <c r="B176" s="97" t="str">
        <f t="shared" si="5"/>
        <v>Phường Yên Đức, Thành phố Đông Triều, Tỉnh Quảng Ninh</v>
      </c>
      <c r="C176" s="98" t="s">
        <v>1753</v>
      </c>
      <c r="D176" s="99" t="s">
        <v>1749</v>
      </c>
      <c r="E176" s="99" t="s">
        <v>1739</v>
      </c>
      <c r="F176" s="97" t="s">
        <v>1960</v>
      </c>
      <c r="G176" s="100">
        <v>41255</v>
      </c>
    </row>
    <row r="177" spans="1:7" hidden="1">
      <c r="A177" s="97">
        <f t="shared" si="4"/>
        <v>176</v>
      </c>
      <c r="B177" s="97" t="str">
        <f t="shared" si="5"/>
        <v>Phường Quảng Yên, Thị xã Quảng Yên, Tỉnh Quảng Ninh</v>
      </c>
      <c r="C177" s="98" t="s">
        <v>921</v>
      </c>
      <c r="D177" s="99" t="s">
        <v>1755</v>
      </c>
      <c r="E177" s="99" t="s">
        <v>1739</v>
      </c>
      <c r="F177" s="97" t="s">
        <v>1923</v>
      </c>
      <c r="G177" s="104" t="s">
        <v>1974</v>
      </c>
    </row>
    <row r="178" spans="1:7" hidden="1">
      <c r="A178" s="97">
        <f t="shared" si="4"/>
        <v>177</v>
      </c>
      <c r="B178" s="97" t="str">
        <f t="shared" si="5"/>
        <v>Phường Đông Mai, Thị xã Quảng Yên, Tỉnh Quảng Ninh</v>
      </c>
      <c r="C178" s="98" t="s">
        <v>922</v>
      </c>
      <c r="D178" s="99" t="s">
        <v>1755</v>
      </c>
      <c r="E178" s="99" t="s">
        <v>1739</v>
      </c>
      <c r="F178" s="97" t="s">
        <v>1923</v>
      </c>
      <c r="G178" s="104" t="s">
        <v>1975</v>
      </c>
    </row>
    <row r="179" spans="1:7" ht="37.200000000000003" hidden="1" customHeight="1">
      <c r="A179" s="97">
        <f t="shared" si="4"/>
        <v>178</v>
      </c>
      <c r="B179" s="97" t="str">
        <f t="shared" si="5"/>
        <v>Phường Minh Thành, Thị xã Quảng Yên, Tỉnh Quảng Ninh</v>
      </c>
      <c r="C179" s="98" t="s">
        <v>923</v>
      </c>
      <c r="D179" s="99" t="s">
        <v>1755</v>
      </c>
      <c r="E179" s="99" t="s">
        <v>1739</v>
      </c>
      <c r="F179" s="105" t="s">
        <v>1976</v>
      </c>
      <c r="G179" s="104" t="s">
        <v>1977</v>
      </c>
    </row>
    <row r="180" spans="1:7" hidden="1">
      <c r="A180" s="97">
        <f t="shared" si="4"/>
        <v>179</v>
      </c>
      <c r="B180" s="97" t="str">
        <f t="shared" si="5"/>
        <v>Xã Sông Khoai, Thị xã Quảng Yên, Tỉnh Quảng Ninh</v>
      </c>
      <c r="C180" s="98" t="s">
        <v>924</v>
      </c>
      <c r="D180" s="99" t="s">
        <v>1755</v>
      </c>
      <c r="E180" s="99" t="s">
        <v>1739</v>
      </c>
      <c r="F180" s="97" t="s">
        <v>1978</v>
      </c>
      <c r="G180" s="104" t="s">
        <v>1979</v>
      </c>
    </row>
    <row r="181" spans="1:7" hidden="1">
      <c r="A181" s="97">
        <f t="shared" si="4"/>
        <v>180</v>
      </c>
      <c r="B181" s="97" t="str">
        <f t="shared" si="5"/>
        <v>Xã Hiệp Hòa, Thị xã Quảng Yên, Tỉnh Quảng Ninh</v>
      </c>
      <c r="C181" s="98" t="s">
        <v>925</v>
      </c>
      <c r="D181" s="99" t="s">
        <v>1755</v>
      </c>
      <c r="E181" s="99" t="s">
        <v>1739</v>
      </c>
      <c r="F181" s="97" t="s">
        <v>1881</v>
      </c>
      <c r="G181" s="104" t="s">
        <v>1980</v>
      </c>
    </row>
    <row r="182" spans="1:7" hidden="1">
      <c r="A182" s="97">
        <f t="shared" si="4"/>
        <v>181</v>
      </c>
      <c r="B182" s="97" t="str">
        <f t="shared" si="5"/>
        <v>Phường Cộng Hòa, Thị xã Quảng Yên, Tỉnh Quảng Ninh</v>
      </c>
      <c r="C182" s="98" t="s">
        <v>926</v>
      </c>
      <c r="D182" s="99" t="s">
        <v>1755</v>
      </c>
      <c r="E182" s="99" t="s">
        <v>1739</v>
      </c>
      <c r="F182" s="97" t="s">
        <v>1981</v>
      </c>
      <c r="G182" s="104" t="s">
        <v>1982</v>
      </c>
    </row>
    <row r="183" spans="1:7" hidden="1">
      <c r="A183" s="97">
        <f t="shared" si="4"/>
        <v>182</v>
      </c>
      <c r="B183" s="97" t="str">
        <f t="shared" si="5"/>
        <v>Xã Tiền An, Thị xã Quảng Yên, Tỉnh Quảng Ninh</v>
      </c>
      <c r="C183" s="98" t="s">
        <v>927</v>
      </c>
      <c r="D183" s="99" t="s">
        <v>1755</v>
      </c>
      <c r="E183" s="99" t="s">
        <v>1739</v>
      </c>
      <c r="F183" s="97" t="s">
        <v>1967</v>
      </c>
      <c r="G183" s="104" t="s">
        <v>1983</v>
      </c>
    </row>
    <row r="184" spans="1:7" hidden="1">
      <c r="A184" s="97">
        <f t="shared" si="4"/>
        <v>183</v>
      </c>
      <c r="B184" s="97" t="str">
        <f t="shared" si="5"/>
        <v>Xã Hoàng Tân, Thị xã Quảng Yên, Tỉnh Quảng Ninh</v>
      </c>
      <c r="C184" s="98" t="s">
        <v>928</v>
      </c>
      <c r="D184" s="99" t="s">
        <v>1755</v>
      </c>
      <c r="E184" s="99" t="s">
        <v>1739</v>
      </c>
      <c r="F184" s="97" t="s">
        <v>1900</v>
      </c>
      <c r="G184" s="104" t="s">
        <v>1984</v>
      </c>
    </row>
    <row r="185" spans="1:7" hidden="1">
      <c r="A185" s="97">
        <f t="shared" si="4"/>
        <v>184</v>
      </c>
      <c r="B185" s="97" t="str">
        <f t="shared" si="5"/>
        <v>Phường Tân An, Thị xã Quảng Yên, Tỉnh Quảng Ninh</v>
      </c>
      <c r="C185" s="98" t="s">
        <v>799</v>
      </c>
      <c r="D185" s="99" t="s">
        <v>1755</v>
      </c>
      <c r="E185" s="99" t="s">
        <v>1739</v>
      </c>
      <c r="F185" s="97" t="s">
        <v>1859</v>
      </c>
      <c r="G185" s="104" t="s">
        <v>1985</v>
      </c>
    </row>
    <row r="186" spans="1:7" hidden="1">
      <c r="A186" s="97">
        <f t="shared" si="4"/>
        <v>185</v>
      </c>
      <c r="B186" s="97" t="str">
        <f t="shared" si="5"/>
        <v>Phường Yên Giang, Thị xã Quảng Yên, Tỉnh Quảng Ninh</v>
      </c>
      <c r="C186" s="98" t="s">
        <v>929</v>
      </c>
      <c r="D186" s="99" t="s">
        <v>1755</v>
      </c>
      <c r="E186" s="99" t="s">
        <v>1739</v>
      </c>
      <c r="F186" s="97" t="s">
        <v>1986</v>
      </c>
      <c r="G186" s="100">
        <v>42350</v>
      </c>
    </row>
    <row r="187" spans="1:7" hidden="1">
      <c r="A187" s="97">
        <f t="shared" si="4"/>
        <v>186</v>
      </c>
      <c r="B187" s="97" t="str">
        <f t="shared" si="5"/>
        <v>Phường Nam Hoà, Thị xã Quảng Yên, Tỉnh Quảng Ninh</v>
      </c>
      <c r="C187" s="98" t="s">
        <v>1987</v>
      </c>
      <c r="D187" s="99" t="s">
        <v>1755</v>
      </c>
      <c r="E187" s="99" t="s">
        <v>1739</v>
      </c>
      <c r="F187" s="97" t="s">
        <v>1923</v>
      </c>
      <c r="G187" s="104" t="s">
        <v>1988</v>
      </c>
    </row>
    <row r="188" spans="1:7" hidden="1">
      <c r="A188" s="97">
        <f t="shared" si="4"/>
        <v>187</v>
      </c>
      <c r="B188" s="97" t="str">
        <f t="shared" si="5"/>
        <v>Phường Hà An, Thị xã Quảng Yên, Tỉnh Quảng Ninh</v>
      </c>
      <c r="C188" s="98" t="s">
        <v>930</v>
      </c>
      <c r="D188" s="99" t="s">
        <v>1755</v>
      </c>
      <c r="E188" s="99" t="s">
        <v>1739</v>
      </c>
      <c r="F188" s="97" t="s">
        <v>1923</v>
      </c>
      <c r="G188" s="104" t="s">
        <v>1989</v>
      </c>
    </row>
    <row r="189" spans="1:7" hidden="1">
      <c r="A189" s="97">
        <f t="shared" si="4"/>
        <v>188</v>
      </c>
      <c r="B189" s="97" t="str">
        <f t="shared" si="5"/>
        <v>Xã Cẩm La, Thị xã Quảng Yên, Tỉnh Quảng Ninh</v>
      </c>
      <c r="C189" s="98" t="s">
        <v>931</v>
      </c>
      <c r="D189" s="99" t="s">
        <v>1755</v>
      </c>
      <c r="E189" s="99" t="s">
        <v>1739</v>
      </c>
      <c r="F189" s="97" t="s">
        <v>1990</v>
      </c>
      <c r="G189" s="104" t="s">
        <v>1991</v>
      </c>
    </row>
    <row r="190" spans="1:7" hidden="1">
      <c r="A190" s="97">
        <f t="shared" si="4"/>
        <v>189</v>
      </c>
      <c r="B190" s="97" t="str">
        <f t="shared" si="5"/>
        <v>Phường Phong Hải, Thị xã Quảng Yên, Tỉnh Quảng Ninh</v>
      </c>
      <c r="C190" s="98" t="s">
        <v>932</v>
      </c>
      <c r="D190" s="99" t="s">
        <v>1755</v>
      </c>
      <c r="E190" s="99" t="s">
        <v>1739</v>
      </c>
      <c r="F190" s="97" t="s">
        <v>1923</v>
      </c>
      <c r="G190" s="104" t="s">
        <v>1992</v>
      </c>
    </row>
    <row r="191" spans="1:7" hidden="1">
      <c r="A191" s="97">
        <f t="shared" si="4"/>
        <v>190</v>
      </c>
      <c r="B191" s="97" t="str">
        <f t="shared" si="5"/>
        <v>Phường Yên Hải, Thị xã Quảng Yên, Tỉnh Quảng Ninh</v>
      </c>
      <c r="C191" s="98" t="s">
        <v>933</v>
      </c>
      <c r="D191" s="99" t="s">
        <v>1755</v>
      </c>
      <c r="E191" s="99" t="s">
        <v>1739</v>
      </c>
      <c r="F191" s="97" t="s">
        <v>1993</v>
      </c>
      <c r="G191" s="104" t="s">
        <v>1977</v>
      </c>
    </row>
    <row r="192" spans="1:7" hidden="1">
      <c r="A192" s="97">
        <f t="shared" si="4"/>
        <v>191</v>
      </c>
      <c r="B192" s="97" t="str">
        <f t="shared" si="5"/>
        <v>Xã Liên Hòa, Thị xã Quảng Yên, Tỉnh Quảng Ninh</v>
      </c>
      <c r="C192" s="98" t="s">
        <v>934</v>
      </c>
      <c r="D192" s="99" t="s">
        <v>1755</v>
      </c>
      <c r="E192" s="99" t="s">
        <v>1739</v>
      </c>
      <c r="F192" s="97" t="s">
        <v>1923</v>
      </c>
      <c r="G192" s="104" t="s">
        <v>1989</v>
      </c>
    </row>
    <row r="193" spans="1:7" hidden="1">
      <c r="A193" s="97">
        <f t="shared" si="4"/>
        <v>192</v>
      </c>
      <c r="B193" s="97" t="str">
        <f t="shared" si="5"/>
        <v>Phường Phong Cốc, Thị xã Quảng Yên, Tỉnh Quảng Ninh</v>
      </c>
      <c r="C193" s="98" t="s">
        <v>935</v>
      </c>
      <c r="D193" s="99" t="s">
        <v>1755</v>
      </c>
      <c r="E193" s="99" t="s">
        <v>1739</v>
      </c>
      <c r="F193" s="97" t="s">
        <v>1923</v>
      </c>
      <c r="G193" s="104" t="s">
        <v>1989</v>
      </c>
    </row>
    <row r="194" spans="1:7" hidden="1">
      <c r="A194" s="97">
        <f t="shared" si="4"/>
        <v>193</v>
      </c>
      <c r="B194" s="97" t="str">
        <f t="shared" si="5"/>
        <v>Xã Liên Vị, Thị xã Quảng Yên, Tỉnh Quảng Ninh</v>
      </c>
      <c r="C194" s="98" t="s">
        <v>936</v>
      </c>
      <c r="D194" s="99" t="s">
        <v>1755</v>
      </c>
      <c r="E194" s="99" t="s">
        <v>1739</v>
      </c>
      <c r="F194" s="97" t="s">
        <v>1860</v>
      </c>
      <c r="G194" s="104" t="s">
        <v>1994</v>
      </c>
    </row>
    <row r="195" spans="1:7" hidden="1">
      <c r="A195" s="97">
        <f t="shared" ref="A195:A199" si="6">ROW()-1</f>
        <v>194</v>
      </c>
      <c r="B195" s="97" t="str">
        <f t="shared" ref="B195:B199" si="7">C195&amp;", "&amp;D195&amp;", "&amp;E195</f>
        <v>Xã Tiền Phong, Thị xã Quảng Yên, Tỉnh Quảng Ninh</v>
      </c>
      <c r="C195" s="98" t="s">
        <v>784</v>
      </c>
      <c r="D195" s="99" t="s">
        <v>1755</v>
      </c>
      <c r="E195" s="99" t="s">
        <v>1739</v>
      </c>
      <c r="F195" s="97" t="s">
        <v>1923</v>
      </c>
      <c r="G195" s="104" t="s">
        <v>1995</v>
      </c>
    </row>
    <row r="196" spans="1:7" hidden="1">
      <c r="A196" s="97">
        <f t="shared" si="6"/>
        <v>195</v>
      </c>
      <c r="B196" s="97" t="str">
        <f t="shared" si="7"/>
        <v>Thị trấn Cô Tô, Huyện Cô Tô, Tỉnh Quảng Ninh</v>
      </c>
      <c r="C196" s="98" t="s">
        <v>937</v>
      </c>
      <c r="D196" s="99" t="s">
        <v>1769</v>
      </c>
      <c r="E196" s="99" t="s">
        <v>1739</v>
      </c>
      <c r="F196" s="97" t="s">
        <v>1871</v>
      </c>
      <c r="G196" s="100">
        <v>42968</v>
      </c>
    </row>
    <row r="197" spans="1:7" hidden="1">
      <c r="A197" s="97">
        <f t="shared" si="6"/>
        <v>196</v>
      </c>
      <c r="B197" s="97" t="str">
        <f t="shared" si="7"/>
        <v>Xã Đồng Tiến, Huyện Cô Tô, Tỉnh Quảng Ninh</v>
      </c>
      <c r="C197" s="98" t="s">
        <v>791</v>
      </c>
      <c r="D197" s="99" t="s">
        <v>1769</v>
      </c>
      <c r="E197" s="99" t="s">
        <v>1739</v>
      </c>
      <c r="F197" s="97" t="s">
        <v>1862</v>
      </c>
      <c r="G197" s="100">
        <v>42961</v>
      </c>
    </row>
    <row r="198" spans="1:7" hidden="1">
      <c r="A198" s="97">
        <f t="shared" si="6"/>
        <v>197</v>
      </c>
      <c r="B198" s="97" t="str">
        <f t="shared" si="7"/>
        <v>Xã Thanh Lân, Huyện Cô Tô, Tỉnh Quảng Ninh</v>
      </c>
      <c r="C198" s="98" t="s">
        <v>938</v>
      </c>
      <c r="D198" s="98" t="s">
        <v>1769</v>
      </c>
      <c r="E198" s="99" t="s">
        <v>1739</v>
      </c>
      <c r="F198" s="97" t="s">
        <v>1862</v>
      </c>
      <c r="G198" s="100">
        <v>42976</v>
      </c>
    </row>
    <row r="199" spans="1:7" hidden="1">
      <c r="A199" s="97">
        <f t="shared" si="6"/>
        <v>198</v>
      </c>
      <c r="B199" s="97" t="str">
        <f t="shared" si="7"/>
        <v>Đất Lâm nghiệp, Huyện Cô Tô, Tỉnh Quảng Ninh</v>
      </c>
      <c r="C199" s="97" t="s">
        <v>1889</v>
      </c>
      <c r="D199" s="98" t="s">
        <v>1769</v>
      </c>
      <c r="E199" s="99" t="s">
        <v>1739</v>
      </c>
      <c r="F199" s="97" t="s">
        <v>1859</v>
      </c>
      <c r="G199" s="104" t="s">
        <v>1996</v>
      </c>
    </row>
    <row r="200" spans="1:7">
      <c r="F200" s="109"/>
      <c r="G200" s="109"/>
    </row>
  </sheetData>
  <autoFilter ref="A1:G199">
    <filterColumn colId="1">
      <filters>
        <filter val="Xã Dực Yên, Huyện Đầm Hà, Tỉnh Quảng Ninh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2" sqref="B2:C2"/>
    </sheetView>
  </sheetViews>
  <sheetFormatPr defaultRowHeight="14.4"/>
  <cols>
    <col min="2" max="2" width="67.109375" customWidth="1"/>
    <col min="3" max="3" width="84.77734375" bestFit="1" customWidth="1"/>
  </cols>
  <sheetData>
    <row r="1" spans="1:3">
      <c r="A1" t="s">
        <v>1835</v>
      </c>
      <c r="B1" t="s">
        <v>675</v>
      </c>
      <c r="C1" t="s">
        <v>1836</v>
      </c>
    </row>
    <row r="2" spans="1:3">
      <c r="A2" t="s">
        <v>1837</v>
      </c>
      <c r="B2" t="s">
        <v>1838</v>
      </c>
      <c r="C2" t="s">
        <v>1839</v>
      </c>
    </row>
    <row r="3" spans="1:3">
      <c r="A3" t="s">
        <v>1840</v>
      </c>
      <c r="B3" t="s">
        <v>1841</v>
      </c>
      <c r="C3" t="s">
        <v>1842</v>
      </c>
    </row>
    <row r="4" spans="1:3">
      <c r="A4" t="s">
        <v>1843</v>
      </c>
      <c r="B4" t="s">
        <v>1844</v>
      </c>
      <c r="C4" t="s">
        <v>1845</v>
      </c>
    </row>
    <row r="5" spans="1:3">
      <c r="A5" t="s">
        <v>1846</v>
      </c>
      <c r="B5" t="s">
        <v>1847</v>
      </c>
      <c r="C5" t="s">
        <v>1848</v>
      </c>
    </row>
    <row r="6" spans="1:3">
      <c r="A6" t="s">
        <v>1849</v>
      </c>
      <c r="B6" t="s">
        <v>1850</v>
      </c>
      <c r="C6" t="s">
        <v>1851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X24"/>
  <sheetViews>
    <sheetView workbookViewId="0">
      <selection activeCell="B24" sqref="B24"/>
    </sheetView>
  </sheetViews>
  <sheetFormatPr defaultColWidth="12.5546875" defaultRowHeight="15" customHeight="1"/>
  <cols>
    <col min="1" max="1" width="16" style="31" bestFit="1" customWidth="1"/>
    <col min="2" max="2" width="107.44140625" style="31" bestFit="1" customWidth="1"/>
    <col min="3" max="3" width="66.88671875" style="31" customWidth="1"/>
    <col min="4" max="24" width="66.88671875" style="34" customWidth="1"/>
    <col min="25" max="16384" width="12.5546875" style="31"/>
  </cols>
  <sheetData>
    <row r="1" spans="1:24" ht="15" customHeight="1">
      <c r="A1" s="30" t="s">
        <v>483</v>
      </c>
      <c r="B1" s="30" t="s">
        <v>984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15" customHeight="1">
      <c r="A2" s="32" t="s">
        <v>197</v>
      </c>
      <c r="B2" s="32" t="s">
        <v>985</v>
      </c>
      <c r="C2" s="33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ht="15" customHeight="1">
      <c r="A3" s="32" t="s">
        <v>198</v>
      </c>
      <c r="B3" s="32" t="s">
        <v>986</v>
      </c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spans="1:24" ht="15" customHeight="1">
      <c r="A4" s="32" t="s">
        <v>199</v>
      </c>
      <c r="B4" s="32" t="s">
        <v>987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</row>
    <row r="5" spans="1:24" ht="15" customHeight="1">
      <c r="A5" s="32" t="s">
        <v>200</v>
      </c>
      <c r="B5" s="32" t="s">
        <v>201</v>
      </c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</row>
    <row r="6" spans="1:24" ht="15" customHeight="1">
      <c r="A6" s="32" t="s">
        <v>202</v>
      </c>
      <c r="B6" s="32" t="s">
        <v>203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</row>
    <row r="7" spans="1:24" ht="15" customHeight="1">
      <c r="A7" s="32" t="s">
        <v>204</v>
      </c>
      <c r="B7" s="32" t="s">
        <v>205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</row>
    <row r="8" spans="1:24" ht="15" customHeight="1">
      <c r="A8" s="32" t="s">
        <v>206</v>
      </c>
      <c r="B8" s="32" t="s">
        <v>207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4" ht="15" customHeight="1">
      <c r="A9" s="32" t="s">
        <v>208</v>
      </c>
      <c r="B9" s="32" t="s">
        <v>988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</row>
    <row r="10" spans="1:24" ht="15" customHeight="1">
      <c r="A10" s="32" t="s">
        <v>209</v>
      </c>
      <c r="B10" s="32" t="s">
        <v>989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</row>
    <row r="11" spans="1:24" ht="15" customHeight="1">
      <c r="A11" s="32" t="s">
        <v>210</v>
      </c>
      <c r="B11" s="32" t="s">
        <v>211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</row>
    <row r="12" spans="1:24" customFormat="1" ht="15.75" customHeight="1">
      <c r="A12" s="32" t="s">
        <v>990</v>
      </c>
      <c r="B12" s="32" t="s">
        <v>1720</v>
      </c>
    </row>
    <row r="13" spans="1:24" customFormat="1" ht="15.75" customHeight="1">
      <c r="A13" s="32" t="s">
        <v>991</v>
      </c>
      <c r="B13" s="32" t="s">
        <v>1721</v>
      </c>
    </row>
    <row r="14" spans="1:24" customFormat="1" ht="15.75" customHeight="1">
      <c r="A14" s="32" t="s">
        <v>992</v>
      </c>
      <c r="B14" s="32" t="s">
        <v>1722</v>
      </c>
    </row>
    <row r="15" spans="1:24" ht="15" customHeight="1">
      <c r="A15" s="88" t="s">
        <v>993</v>
      </c>
      <c r="B15" s="88" t="s">
        <v>1723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1:24" ht="15" customHeight="1">
      <c r="A16" s="88" t="s">
        <v>994</v>
      </c>
      <c r="B16" s="88" t="s">
        <v>1724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</row>
    <row r="17" spans="1:24" ht="15" customHeight="1">
      <c r="A17" s="88" t="s">
        <v>995</v>
      </c>
      <c r="B17" s="88" t="s">
        <v>1725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</row>
    <row r="18" spans="1:24" ht="15" customHeight="1">
      <c r="A18" s="88" t="s">
        <v>996</v>
      </c>
      <c r="B18" s="88" t="s">
        <v>1726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</row>
    <row r="19" spans="1:24" ht="15" customHeight="1">
      <c r="A19" s="88" t="s">
        <v>997</v>
      </c>
      <c r="B19" s="88" t="s">
        <v>1727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</row>
    <row r="20" spans="1:24" ht="15" customHeight="1">
      <c r="A20" s="88" t="s">
        <v>998</v>
      </c>
      <c r="B20" s="88" t="s">
        <v>1728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</row>
    <row r="21" spans="1:24" ht="15" customHeight="1">
      <c r="A21" s="88" t="s">
        <v>999</v>
      </c>
      <c r="B21" s="88" t="s">
        <v>1729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</row>
    <row r="22" spans="1:24" ht="15" customHeight="1">
      <c r="A22" s="88" t="s">
        <v>1714</v>
      </c>
      <c r="B22" s="88" t="s">
        <v>1715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</row>
    <row r="23" spans="1:24" ht="15" customHeight="1">
      <c r="A23" s="88" t="s">
        <v>1716</v>
      </c>
      <c r="B23" s="88" t="s">
        <v>1717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</row>
    <row r="24" spans="1:24" ht="15" customHeight="1">
      <c r="A24" s="88" t="s">
        <v>1718</v>
      </c>
      <c r="B24" s="88" t="s">
        <v>1719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activeCell="C7" sqref="C7"/>
    </sheetView>
  </sheetViews>
  <sheetFormatPr defaultColWidth="9.109375" defaultRowHeight="16.8"/>
  <cols>
    <col min="1" max="1" width="6.44140625" style="1" bestFit="1" customWidth="1"/>
    <col min="2" max="2" width="87.109375" style="1" customWidth="1"/>
    <col min="3" max="3" width="14.6640625" style="3" bestFit="1" customWidth="1"/>
    <col min="4" max="16384" width="9.109375" style="1"/>
  </cols>
  <sheetData>
    <row r="1" spans="1:3">
      <c r="A1" s="4" t="s">
        <v>483</v>
      </c>
      <c r="B1" s="5" t="s">
        <v>984</v>
      </c>
      <c r="C1" s="5" t="s">
        <v>1713</v>
      </c>
    </row>
    <row r="2" spans="1:3" ht="33.6">
      <c r="A2" s="81" t="s">
        <v>497</v>
      </c>
      <c r="B2" s="80" t="s">
        <v>1653</v>
      </c>
      <c r="C2" s="81" t="s">
        <v>1679</v>
      </c>
    </row>
    <row r="3" spans="1:3">
      <c r="A3" s="81" t="s">
        <v>498</v>
      </c>
      <c r="B3" s="80" t="s">
        <v>499</v>
      </c>
      <c r="C3" s="81" t="s">
        <v>1680</v>
      </c>
    </row>
    <row r="4" spans="1:3" ht="50.4">
      <c r="A4" s="81" t="s">
        <v>500</v>
      </c>
      <c r="B4" s="80" t="s">
        <v>1654</v>
      </c>
      <c r="C4" s="81" t="s">
        <v>1680</v>
      </c>
    </row>
    <row r="5" spans="1:3" ht="50.4">
      <c r="A5" s="81" t="s">
        <v>501</v>
      </c>
      <c r="B5" s="80" t="s">
        <v>1655</v>
      </c>
      <c r="C5" s="81" t="s">
        <v>1680</v>
      </c>
    </row>
    <row r="6" spans="1:3" ht="50.4">
      <c r="A6" s="81" t="s">
        <v>502</v>
      </c>
      <c r="B6" s="80" t="s">
        <v>1656</v>
      </c>
      <c r="C6" s="81" t="s">
        <v>1680</v>
      </c>
    </row>
    <row r="7" spans="1:3" ht="50.4">
      <c r="A7" s="81" t="s">
        <v>503</v>
      </c>
      <c r="B7" s="80" t="s">
        <v>1657</v>
      </c>
      <c r="C7" s="81" t="s">
        <v>1680</v>
      </c>
    </row>
    <row r="8" spans="1:3" ht="33.6">
      <c r="A8" s="81" t="s">
        <v>504</v>
      </c>
      <c r="B8" s="80" t="s">
        <v>1658</v>
      </c>
      <c r="C8" s="81" t="s">
        <v>1680</v>
      </c>
    </row>
    <row r="9" spans="1:3" ht="50.4">
      <c r="A9" s="81" t="s">
        <v>505</v>
      </c>
      <c r="B9" s="80" t="s">
        <v>1659</v>
      </c>
      <c r="C9" s="81" t="s">
        <v>1680</v>
      </c>
    </row>
    <row r="10" spans="1:3">
      <c r="A10" s="81" t="s">
        <v>506</v>
      </c>
      <c r="B10" s="80" t="s">
        <v>507</v>
      </c>
      <c r="C10" s="81" t="s">
        <v>1680</v>
      </c>
    </row>
    <row r="11" spans="1:3" ht="50.4">
      <c r="A11" s="81" t="s">
        <v>508</v>
      </c>
      <c r="B11" s="80" t="s">
        <v>1660</v>
      </c>
      <c r="C11" s="81" t="s">
        <v>1679</v>
      </c>
    </row>
    <row r="12" spans="1:3" ht="50.4">
      <c r="A12" s="81" t="s">
        <v>509</v>
      </c>
      <c r="B12" s="80" t="s">
        <v>1661</v>
      </c>
      <c r="C12" s="81" t="s">
        <v>1681</v>
      </c>
    </row>
    <row r="13" spans="1:3" ht="33.6">
      <c r="A13" s="81" t="s">
        <v>510</v>
      </c>
      <c r="B13" s="80" t="s">
        <v>1662</v>
      </c>
      <c r="C13" s="81" t="s">
        <v>1680</v>
      </c>
    </row>
    <row r="14" spans="1:3" ht="33.6">
      <c r="A14" s="81" t="s">
        <v>511</v>
      </c>
      <c r="B14" s="80" t="s">
        <v>1663</v>
      </c>
      <c r="C14" s="81" t="s">
        <v>1680</v>
      </c>
    </row>
    <row r="15" spans="1:3" ht="33.6">
      <c r="A15" s="81" t="s">
        <v>512</v>
      </c>
      <c r="B15" s="80" t="s">
        <v>1664</v>
      </c>
      <c r="C15" s="81" t="s">
        <v>1681</v>
      </c>
    </row>
    <row r="16" spans="1:3">
      <c r="A16" s="81" t="s">
        <v>1000</v>
      </c>
      <c r="B16" s="80" t="s">
        <v>1001</v>
      </c>
      <c r="C16" s="81" t="s">
        <v>1681</v>
      </c>
    </row>
    <row r="17" spans="1:3">
      <c r="A17" s="81" t="s">
        <v>1002</v>
      </c>
      <c r="B17" s="80" t="s">
        <v>1003</v>
      </c>
      <c r="C17" s="81" t="s">
        <v>1679</v>
      </c>
    </row>
    <row r="18" spans="1:3">
      <c r="A18" s="81" t="s">
        <v>1004</v>
      </c>
      <c r="B18" s="80" t="s">
        <v>1005</v>
      </c>
      <c r="C18" s="81" t="s">
        <v>1679</v>
      </c>
    </row>
    <row r="19" spans="1:3">
      <c r="A19" s="81" t="s">
        <v>1006</v>
      </c>
      <c r="B19" s="80" t="s">
        <v>1007</v>
      </c>
      <c r="C19" s="81" t="s">
        <v>1679</v>
      </c>
    </row>
    <row r="20" spans="1:3">
      <c r="A20" s="81" t="s">
        <v>1008</v>
      </c>
      <c r="B20" s="80" t="s">
        <v>1009</v>
      </c>
      <c r="C20" s="81" t="s">
        <v>1680</v>
      </c>
    </row>
    <row r="21" spans="1:3">
      <c r="A21" s="81" t="s">
        <v>1010</v>
      </c>
      <c r="B21" s="80" t="s">
        <v>1011</v>
      </c>
      <c r="C21" s="81" t="s">
        <v>1680</v>
      </c>
    </row>
    <row r="22" spans="1:3">
      <c r="A22" s="81" t="s">
        <v>1012</v>
      </c>
      <c r="B22" s="80" t="s">
        <v>1013</v>
      </c>
      <c r="C22" s="81" t="s">
        <v>1680</v>
      </c>
    </row>
    <row r="23" spans="1:3">
      <c r="A23" s="81" t="s">
        <v>1014</v>
      </c>
      <c r="B23" s="80" t="s">
        <v>1015</v>
      </c>
      <c r="C23" s="81" t="s">
        <v>1680</v>
      </c>
    </row>
    <row r="24" spans="1:3">
      <c r="A24" s="81" t="s">
        <v>1016</v>
      </c>
      <c r="B24" s="80" t="s">
        <v>1017</v>
      </c>
      <c r="C24" s="81" t="s">
        <v>1680</v>
      </c>
    </row>
    <row r="25" spans="1:3">
      <c r="A25" s="81" t="s">
        <v>1554</v>
      </c>
      <c r="B25" s="80" t="s">
        <v>1555</v>
      </c>
      <c r="C25" s="81" t="s">
        <v>1680</v>
      </c>
    </row>
    <row r="26" spans="1:3">
      <c r="A26" s="81" t="s">
        <v>1556</v>
      </c>
      <c r="B26" s="80" t="s">
        <v>1557</v>
      </c>
      <c r="C26" s="81" t="s">
        <v>1679</v>
      </c>
    </row>
    <row r="27" spans="1:3">
      <c r="A27" s="81" t="s">
        <v>1558</v>
      </c>
      <c r="B27" s="80" t="s">
        <v>1559</v>
      </c>
      <c r="C27" s="81" t="s">
        <v>1679</v>
      </c>
    </row>
    <row r="28" spans="1:3">
      <c r="A28" s="81" t="s">
        <v>1560</v>
      </c>
      <c r="B28" s="80" t="s">
        <v>1561</v>
      </c>
      <c r="C28" s="81" t="s">
        <v>1679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162"/>
  <sheetViews>
    <sheetView topLeftCell="A4" workbookViewId="0">
      <selection activeCell="A10" sqref="A10:XFD10"/>
    </sheetView>
  </sheetViews>
  <sheetFormatPr defaultColWidth="79.109375" defaultRowHeight="13.8"/>
  <cols>
    <col min="1" max="1" width="5.88671875" style="72" bestFit="1" customWidth="1"/>
    <col min="2" max="2" width="78.6640625" style="72" bestFit="1" customWidth="1"/>
    <col min="3" max="3" width="5.88671875" style="72" bestFit="1" customWidth="1"/>
    <col min="4" max="4" width="18.33203125" style="72" bestFit="1" customWidth="1"/>
    <col min="5" max="16384" width="79.109375" style="72"/>
  </cols>
  <sheetData>
    <row r="1" spans="1:23">
      <c r="A1" s="78" t="s">
        <v>483</v>
      </c>
      <c r="B1" s="78" t="s">
        <v>984</v>
      </c>
      <c r="C1" s="78" t="s">
        <v>483</v>
      </c>
      <c r="D1" s="78" t="s">
        <v>1553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</row>
    <row r="2" spans="1:23">
      <c r="A2" s="76" t="s">
        <v>1562</v>
      </c>
      <c r="B2" s="76" t="s">
        <v>1024</v>
      </c>
      <c r="C2" s="76" t="s">
        <v>1562</v>
      </c>
      <c r="D2" s="79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</row>
    <row r="3" spans="1:23">
      <c r="A3" s="76" t="s">
        <v>1563</v>
      </c>
      <c r="B3" s="76" t="s">
        <v>1025</v>
      </c>
      <c r="C3" s="76" t="s">
        <v>1563</v>
      </c>
      <c r="D3" s="79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</row>
    <row r="4" spans="1:23">
      <c r="A4" s="76" t="s">
        <v>1564</v>
      </c>
      <c r="B4" s="76" t="s">
        <v>1027</v>
      </c>
      <c r="C4" s="76" t="s">
        <v>1564</v>
      </c>
      <c r="D4" s="79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</row>
    <row r="5" spans="1:23">
      <c r="A5" s="76" t="s">
        <v>1565</v>
      </c>
      <c r="B5" s="76" t="s">
        <v>1028</v>
      </c>
      <c r="C5" s="76" t="s">
        <v>1565</v>
      </c>
      <c r="D5" s="79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</row>
    <row r="6" spans="1:23">
      <c r="A6" s="76" t="s">
        <v>1566</v>
      </c>
      <c r="B6" s="76" t="s">
        <v>1029</v>
      </c>
      <c r="C6" s="76" t="s">
        <v>1566</v>
      </c>
      <c r="D6" s="79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</row>
    <row r="7" spans="1:23" ht="27.6">
      <c r="A7" s="76" t="s">
        <v>1567</v>
      </c>
      <c r="B7" s="76" t="s">
        <v>1568</v>
      </c>
      <c r="C7" s="76" t="s">
        <v>1567</v>
      </c>
      <c r="D7" s="79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</row>
    <row r="8" spans="1:23" ht="27.6">
      <c r="A8" s="76" t="s">
        <v>1569</v>
      </c>
      <c r="B8" s="76" t="s">
        <v>1570</v>
      </c>
      <c r="C8" s="76" t="s">
        <v>1569</v>
      </c>
      <c r="D8" s="79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</row>
    <row r="9" spans="1:23" ht="27.6">
      <c r="A9" s="76" t="s">
        <v>1571</v>
      </c>
      <c r="B9" s="76" t="s">
        <v>1572</v>
      </c>
      <c r="C9" s="76" t="s">
        <v>1571</v>
      </c>
      <c r="D9" s="79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</row>
    <row r="10" spans="1:23">
      <c r="A10" s="76" t="s">
        <v>1573</v>
      </c>
      <c r="B10" s="76" t="s">
        <v>1030</v>
      </c>
      <c r="C10" s="76" t="s">
        <v>1573</v>
      </c>
      <c r="D10" s="79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</row>
    <row r="11" spans="1:23">
      <c r="A11" s="76" t="s">
        <v>1574</v>
      </c>
      <c r="B11" s="76" t="s">
        <v>383</v>
      </c>
      <c r="C11" s="76" t="s">
        <v>1574</v>
      </c>
      <c r="D11" s="79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</row>
    <row r="12" spans="1:23">
      <c r="A12" s="76" t="s">
        <v>1575</v>
      </c>
      <c r="B12" s="76" t="s">
        <v>1031</v>
      </c>
      <c r="C12" s="76" t="s">
        <v>1575</v>
      </c>
      <c r="D12" s="79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</row>
    <row r="13" spans="1:23">
      <c r="A13" s="76" t="s">
        <v>1576</v>
      </c>
      <c r="B13" s="76" t="s">
        <v>386</v>
      </c>
      <c r="C13" s="76" t="s">
        <v>1576</v>
      </c>
      <c r="D13" s="79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</row>
    <row r="14" spans="1:23">
      <c r="A14" s="76" t="s">
        <v>1577</v>
      </c>
      <c r="B14" s="76" t="s">
        <v>385</v>
      </c>
      <c r="C14" s="76" t="s">
        <v>1577</v>
      </c>
      <c r="D14" s="79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</row>
    <row r="15" spans="1:23">
      <c r="A15" s="76" t="s">
        <v>1578</v>
      </c>
      <c r="B15" s="76" t="s">
        <v>384</v>
      </c>
      <c r="C15" s="76" t="s">
        <v>1578</v>
      </c>
      <c r="D15" s="79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</row>
    <row r="16" spans="1:23">
      <c r="A16" s="76" t="s">
        <v>1579</v>
      </c>
      <c r="B16" s="76" t="s">
        <v>1032</v>
      </c>
      <c r="C16" s="76" t="s">
        <v>1579</v>
      </c>
      <c r="D16" s="79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</row>
    <row r="17" spans="1:23">
      <c r="A17" s="76" t="s">
        <v>1580</v>
      </c>
      <c r="B17" s="76" t="s">
        <v>387</v>
      </c>
      <c r="C17" s="76" t="s">
        <v>1580</v>
      </c>
      <c r="D17" s="79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</row>
    <row r="18" spans="1:23">
      <c r="A18" s="76" t="s">
        <v>1581</v>
      </c>
      <c r="B18" s="76" t="s">
        <v>1033</v>
      </c>
      <c r="C18" s="76" t="s">
        <v>1581</v>
      </c>
      <c r="D18" s="79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</row>
    <row r="19" spans="1:23">
      <c r="A19" s="76" t="s">
        <v>1582</v>
      </c>
      <c r="B19" s="76" t="s">
        <v>388</v>
      </c>
      <c r="C19" s="76" t="s">
        <v>1582</v>
      </c>
      <c r="D19" s="79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</row>
    <row r="20" spans="1:23">
      <c r="A20" s="76" t="s">
        <v>1583</v>
      </c>
      <c r="B20" s="76" t="s">
        <v>389</v>
      </c>
      <c r="C20" s="76" t="s">
        <v>1583</v>
      </c>
      <c r="D20" s="79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</row>
    <row r="21" spans="1:23">
      <c r="A21" s="76" t="s">
        <v>1584</v>
      </c>
      <c r="B21" s="76" t="s">
        <v>1034</v>
      </c>
      <c r="C21" s="76" t="s">
        <v>1584</v>
      </c>
      <c r="D21" s="79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</row>
    <row r="22" spans="1:23">
      <c r="A22" s="76" t="s">
        <v>1585</v>
      </c>
      <c r="B22" s="76" t="s">
        <v>1035</v>
      </c>
      <c r="C22" s="76" t="s">
        <v>1585</v>
      </c>
      <c r="D22" s="79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</row>
    <row r="23" spans="1:23">
      <c r="A23" s="76" t="s">
        <v>1586</v>
      </c>
      <c r="B23" s="76" t="s">
        <v>390</v>
      </c>
      <c r="C23" s="76" t="s">
        <v>1586</v>
      </c>
      <c r="D23" s="79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</row>
    <row r="24" spans="1:23">
      <c r="A24" s="76" t="s">
        <v>1587</v>
      </c>
      <c r="B24" s="76" t="s">
        <v>391</v>
      </c>
      <c r="C24" s="76" t="s">
        <v>1587</v>
      </c>
      <c r="D24" s="79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</row>
    <row r="25" spans="1:23">
      <c r="A25" s="76" t="s">
        <v>1588</v>
      </c>
      <c r="B25" s="76" t="s">
        <v>392</v>
      </c>
      <c r="C25" s="76" t="s">
        <v>1588</v>
      </c>
      <c r="D25" s="79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</row>
    <row r="26" spans="1:23" ht="27.6">
      <c r="A26" s="76" t="s">
        <v>1589</v>
      </c>
      <c r="B26" s="76" t="s">
        <v>1590</v>
      </c>
      <c r="C26" s="76" t="s">
        <v>1589</v>
      </c>
      <c r="D26" s="79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</row>
    <row r="27" spans="1:23">
      <c r="A27" s="76" t="s">
        <v>1591</v>
      </c>
      <c r="B27" s="76" t="s">
        <v>1036</v>
      </c>
      <c r="C27" s="76" t="s">
        <v>1591</v>
      </c>
      <c r="D27" s="79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</row>
    <row r="28" spans="1:23">
      <c r="A28" s="76" t="s">
        <v>1592</v>
      </c>
      <c r="B28" s="76" t="s">
        <v>400</v>
      </c>
      <c r="C28" s="76" t="s">
        <v>1592</v>
      </c>
      <c r="D28" s="79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</row>
    <row r="29" spans="1:23">
      <c r="A29" s="76" t="s">
        <v>1593</v>
      </c>
      <c r="B29" s="76" t="s">
        <v>401</v>
      </c>
      <c r="C29" s="76" t="s">
        <v>1593</v>
      </c>
      <c r="D29" s="79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</row>
    <row r="30" spans="1:23">
      <c r="A30" s="76" t="s">
        <v>1594</v>
      </c>
      <c r="B30" s="76" t="s">
        <v>1037</v>
      </c>
      <c r="C30" s="76" t="s">
        <v>1594</v>
      </c>
      <c r="D30" s="79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</row>
    <row r="31" spans="1:23">
      <c r="A31" s="76" t="s">
        <v>1595</v>
      </c>
      <c r="B31" s="76" t="s">
        <v>393</v>
      </c>
      <c r="C31" s="76" t="s">
        <v>1595</v>
      </c>
      <c r="D31" s="79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</row>
    <row r="32" spans="1:23" ht="41.4">
      <c r="A32" s="76" t="s">
        <v>397</v>
      </c>
      <c r="B32" s="76" t="s">
        <v>1596</v>
      </c>
      <c r="C32" s="76" t="s">
        <v>397</v>
      </c>
      <c r="D32" s="79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</row>
    <row r="33" spans="1:23">
      <c r="A33" s="76" t="s">
        <v>1597</v>
      </c>
      <c r="B33" s="76" t="s">
        <v>394</v>
      </c>
      <c r="C33" s="76" t="s">
        <v>1597</v>
      </c>
      <c r="D33" s="79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</row>
    <row r="34" spans="1:23">
      <c r="A34" s="76" t="s">
        <v>1598</v>
      </c>
      <c r="B34" s="76" t="s">
        <v>395</v>
      </c>
      <c r="C34" s="76" t="s">
        <v>1598</v>
      </c>
      <c r="D34" s="79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</row>
    <row r="35" spans="1:23">
      <c r="A35" s="76" t="s">
        <v>1599</v>
      </c>
      <c r="B35" s="76" t="s">
        <v>1038</v>
      </c>
      <c r="C35" s="76" t="s">
        <v>1599</v>
      </c>
      <c r="D35" s="79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</row>
    <row r="36" spans="1:23">
      <c r="A36" s="76" t="s">
        <v>1600</v>
      </c>
      <c r="B36" s="76" t="s">
        <v>396</v>
      </c>
      <c r="C36" s="76" t="s">
        <v>1600</v>
      </c>
      <c r="D36" s="79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</row>
    <row r="37" spans="1:23">
      <c r="A37" s="76" t="s">
        <v>1601</v>
      </c>
      <c r="B37" s="76" t="s">
        <v>1039</v>
      </c>
      <c r="C37" s="76" t="s">
        <v>1601</v>
      </c>
      <c r="D37" s="79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</row>
    <row r="38" spans="1:23">
      <c r="A38" s="76" t="s">
        <v>1602</v>
      </c>
      <c r="B38" s="76" t="s">
        <v>1040</v>
      </c>
      <c r="C38" s="76" t="s">
        <v>1602</v>
      </c>
      <c r="D38" s="79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</row>
    <row r="39" spans="1:23">
      <c r="A39" s="76" t="s">
        <v>1603</v>
      </c>
      <c r="B39" s="76" t="s">
        <v>398</v>
      </c>
      <c r="C39" s="76" t="s">
        <v>1603</v>
      </c>
      <c r="D39" s="79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</row>
    <row r="40" spans="1:23">
      <c r="A40" s="76" t="s">
        <v>1604</v>
      </c>
      <c r="B40" s="76" t="s">
        <v>399</v>
      </c>
      <c r="C40" s="76" t="s">
        <v>1604</v>
      </c>
      <c r="D40" s="79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</row>
    <row r="41" spans="1:23">
      <c r="A41" s="76" t="s">
        <v>1605</v>
      </c>
      <c r="B41" s="76" t="s">
        <v>1041</v>
      </c>
      <c r="C41" s="76" t="s">
        <v>1605</v>
      </c>
      <c r="D41" s="79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</row>
    <row r="42" spans="1:23">
      <c r="A42" s="76" t="s">
        <v>1606</v>
      </c>
      <c r="B42" s="76" t="s">
        <v>1042</v>
      </c>
      <c r="C42" s="76" t="s">
        <v>1606</v>
      </c>
      <c r="D42" s="79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</row>
    <row r="43" spans="1:23">
      <c r="A43" s="76" t="s">
        <v>1607</v>
      </c>
      <c r="B43" s="76" t="s">
        <v>403</v>
      </c>
      <c r="C43" s="76" t="s">
        <v>1607</v>
      </c>
      <c r="D43" s="79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</row>
    <row r="44" spans="1:23" ht="27.6">
      <c r="A44" s="76" t="s">
        <v>1608</v>
      </c>
      <c r="B44" s="76" t="s">
        <v>1609</v>
      </c>
      <c r="C44" s="76" t="s">
        <v>1608</v>
      </c>
      <c r="D44" s="79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</row>
    <row r="45" spans="1:23" ht="27.6">
      <c r="A45" s="76" t="s">
        <v>1610</v>
      </c>
      <c r="B45" s="76" t="s">
        <v>1611</v>
      </c>
      <c r="C45" s="76" t="s">
        <v>1610</v>
      </c>
      <c r="D45" s="79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</row>
    <row r="46" spans="1:23">
      <c r="A46" s="76" t="s">
        <v>1612</v>
      </c>
      <c r="B46" s="76" t="s">
        <v>404</v>
      </c>
      <c r="C46" s="76" t="s">
        <v>1612</v>
      </c>
      <c r="D46" s="79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</row>
    <row r="47" spans="1:23">
      <c r="A47" s="76" t="s">
        <v>1613</v>
      </c>
      <c r="B47" s="76" t="s">
        <v>1043</v>
      </c>
      <c r="C47" s="76" t="s">
        <v>1613</v>
      </c>
      <c r="D47" s="79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</row>
    <row r="48" spans="1:23">
      <c r="A48" s="76" t="s">
        <v>1614</v>
      </c>
      <c r="B48" s="76" t="s">
        <v>405</v>
      </c>
      <c r="C48" s="76" t="s">
        <v>1614</v>
      </c>
      <c r="D48" s="79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</row>
    <row r="49" spans="1:23">
      <c r="A49" s="76" t="s">
        <v>1615</v>
      </c>
      <c r="B49" s="76" t="s">
        <v>406</v>
      </c>
      <c r="C49" s="76" t="s">
        <v>1615</v>
      </c>
      <c r="D49" s="79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</row>
    <row r="50" spans="1:23">
      <c r="A50" s="76" t="s">
        <v>1616</v>
      </c>
      <c r="B50" s="76" t="s">
        <v>407</v>
      </c>
      <c r="C50" s="76" t="s">
        <v>1616</v>
      </c>
      <c r="D50" s="79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</row>
    <row r="51" spans="1:23">
      <c r="A51" s="76" t="s">
        <v>1617</v>
      </c>
      <c r="B51" s="76" t="s">
        <v>1044</v>
      </c>
      <c r="C51" s="76" t="s">
        <v>1617</v>
      </c>
      <c r="D51" s="79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</row>
    <row r="52" spans="1:23">
      <c r="A52" s="76" t="s">
        <v>1618</v>
      </c>
      <c r="B52" s="76" t="s">
        <v>1045</v>
      </c>
      <c r="C52" s="76" t="s">
        <v>1618</v>
      </c>
      <c r="D52" s="79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</row>
    <row r="53" spans="1:23">
      <c r="A53" s="76" t="s">
        <v>1619</v>
      </c>
      <c r="B53" s="76" t="s">
        <v>1046</v>
      </c>
      <c r="C53" s="76" t="s">
        <v>1619</v>
      </c>
      <c r="D53" s="79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</row>
    <row r="54" spans="1:23" ht="27.6">
      <c r="A54" s="76" t="s">
        <v>1620</v>
      </c>
      <c r="B54" s="76" t="s">
        <v>1621</v>
      </c>
      <c r="C54" s="76" t="s">
        <v>1620</v>
      </c>
      <c r="D54" s="79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</row>
    <row r="55" spans="1:23" ht="27.6">
      <c r="A55" s="76" t="s">
        <v>1622</v>
      </c>
      <c r="B55" s="76" t="s">
        <v>1623</v>
      </c>
      <c r="C55" s="76" t="s">
        <v>1622</v>
      </c>
      <c r="D55" s="79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</row>
    <row r="56" spans="1:23" ht="27.6">
      <c r="A56" s="76" t="s">
        <v>1624</v>
      </c>
      <c r="B56" s="76" t="s">
        <v>1625</v>
      </c>
      <c r="C56" s="76" t="s">
        <v>1624</v>
      </c>
      <c r="D56" s="79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</row>
    <row r="57" spans="1:23">
      <c r="A57" s="76" t="s">
        <v>1626</v>
      </c>
      <c r="B57" s="76" t="s">
        <v>1047</v>
      </c>
      <c r="C57" s="76" t="s">
        <v>1626</v>
      </c>
      <c r="D57" s="79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74"/>
    </row>
    <row r="58" spans="1:23">
      <c r="A58" s="76" t="s">
        <v>1627</v>
      </c>
      <c r="B58" s="76" t="s">
        <v>1048</v>
      </c>
      <c r="C58" s="76" t="s">
        <v>1627</v>
      </c>
      <c r="D58" s="79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74"/>
    </row>
    <row r="59" spans="1:23">
      <c r="A59" s="76" t="s">
        <v>1628</v>
      </c>
      <c r="B59" s="76" t="s">
        <v>1049</v>
      </c>
      <c r="C59" s="76" t="s">
        <v>1628</v>
      </c>
      <c r="D59" s="79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  <c r="V59" s="74"/>
      <c r="W59" s="74"/>
    </row>
    <row r="60" spans="1:23" ht="41.4">
      <c r="A60" s="76" t="s">
        <v>411</v>
      </c>
      <c r="B60" s="76" t="s">
        <v>1629</v>
      </c>
      <c r="C60" s="76" t="s">
        <v>411</v>
      </c>
      <c r="D60" s="79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</row>
    <row r="61" spans="1:23" ht="27.6">
      <c r="A61" s="76" t="s">
        <v>1630</v>
      </c>
      <c r="B61" s="76" t="s">
        <v>1631</v>
      </c>
      <c r="C61" s="76" t="s">
        <v>1630</v>
      </c>
      <c r="D61" s="79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</row>
    <row r="62" spans="1:23" ht="41.4">
      <c r="A62" s="76" t="s">
        <v>409</v>
      </c>
      <c r="B62" s="76" t="s">
        <v>1632</v>
      </c>
      <c r="C62" s="76" t="s">
        <v>409</v>
      </c>
      <c r="D62" s="79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</row>
    <row r="63" spans="1:23" ht="41.4">
      <c r="A63" s="76" t="s">
        <v>410</v>
      </c>
      <c r="B63" s="76" t="s">
        <v>1633</v>
      </c>
      <c r="C63" s="76" t="s">
        <v>410</v>
      </c>
      <c r="D63" s="79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  <c r="V63" s="74"/>
      <c r="W63" s="74"/>
    </row>
    <row r="64" spans="1:23" ht="27.6">
      <c r="A64" s="76" t="s">
        <v>1634</v>
      </c>
      <c r="B64" s="76" t="s">
        <v>1635</v>
      </c>
      <c r="C64" s="76" t="s">
        <v>1634</v>
      </c>
      <c r="D64" s="79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  <c r="V64" s="74"/>
      <c r="W64" s="74"/>
    </row>
    <row r="65" spans="1:23" ht="41.4">
      <c r="A65" s="77" t="s">
        <v>408</v>
      </c>
      <c r="B65" s="77" t="s">
        <v>1636</v>
      </c>
      <c r="C65" s="77" t="s">
        <v>408</v>
      </c>
      <c r="D65" s="79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</row>
    <row r="66" spans="1:23" ht="41.4">
      <c r="A66" s="76" t="s">
        <v>412</v>
      </c>
      <c r="B66" s="76" t="s">
        <v>1637</v>
      </c>
      <c r="C66" s="76" t="s">
        <v>412</v>
      </c>
      <c r="D66" s="79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</row>
    <row r="67" spans="1:23" ht="41.4">
      <c r="A67" s="76" t="s">
        <v>413</v>
      </c>
      <c r="B67" s="76" t="s">
        <v>1638</v>
      </c>
      <c r="C67" s="76" t="s">
        <v>413</v>
      </c>
      <c r="D67" s="79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</row>
    <row r="68" spans="1:23" ht="41.4">
      <c r="A68" s="76" t="s">
        <v>414</v>
      </c>
      <c r="B68" s="76" t="s">
        <v>1639</v>
      </c>
      <c r="C68" s="76" t="s">
        <v>414</v>
      </c>
      <c r="D68" s="79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4"/>
      <c r="P68" s="74"/>
      <c r="Q68" s="74"/>
      <c r="R68" s="74"/>
      <c r="S68" s="74"/>
      <c r="T68" s="74"/>
      <c r="U68" s="74"/>
      <c r="V68" s="74"/>
      <c r="W68" s="74"/>
    </row>
    <row r="69" spans="1:23">
      <c r="A69" s="76" t="s">
        <v>1640</v>
      </c>
      <c r="B69" s="76" t="s">
        <v>416</v>
      </c>
      <c r="C69" s="76" t="s">
        <v>1640</v>
      </c>
      <c r="D69" s="79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</row>
    <row r="70" spans="1:23" ht="41.4">
      <c r="A70" s="76" t="s">
        <v>417</v>
      </c>
      <c r="B70" s="76" t="s">
        <v>1641</v>
      </c>
      <c r="C70" s="76" t="s">
        <v>417</v>
      </c>
      <c r="D70" s="79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4"/>
      <c r="P70" s="74"/>
      <c r="Q70" s="74"/>
      <c r="R70" s="74"/>
      <c r="S70" s="74"/>
      <c r="T70" s="74"/>
      <c r="U70" s="74"/>
      <c r="V70" s="74"/>
      <c r="W70" s="74"/>
    </row>
    <row r="71" spans="1:23" ht="41.4">
      <c r="A71" s="76" t="s">
        <v>415</v>
      </c>
      <c r="B71" s="76" t="s">
        <v>1642</v>
      </c>
      <c r="C71" s="76" t="s">
        <v>415</v>
      </c>
      <c r="D71" s="79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</row>
    <row r="72" spans="1:23">
      <c r="A72" s="76" t="s">
        <v>1643</v>
      </c>
      <c r="B72" s="76" t="s">
        <v>418</v>
      </c>
      <c r="C72" s="76" t="s">
        <v>1643</v>
      </c>
      <c r="D72" s="79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4"/>
      <c r="P72" s="74"/>
      <c r="Q72" s="74"/>
      <c r="R72" s="74"/>
      <c r="S72" s="74"/>
      <c r="T72" s="74"/>
      <c r="U72" s="74"/>
      <c r="V72" s="74"/>
      <c r="W72" s="74"/>
    </row>
    <row r="73" spans="1:23">
      <c r="A73" s="76" t="s">
        <v>1644</v>
      </c>
      <c r="B73" s="76" t="s">
        <v>1050</v>
      </c>
      <c r="C73" s="76" t="s">
        <v>1644</v>
      </c>
      <c r="D73" s="79"/>
      <c r="E73" s="74"/>
      <c r="F73" s="74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</row>
    <row r="74" spans="1:23" ht="27.6">
      <c r="A74" s="76" t="s">
        <v>1645</v>
      </c>
      <c r="B74" s="76" t="s">
        <v>1646</v>
      </c>
      <c r="C74" s="76" t="s">
        <v>1645</v>
      </c>
      <c r="D74" s="79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74"/>
      <c r="T74" s="74"/>
      <c r="U74" s="74"/>
      <c r="V74" s="74"/>
      <c r="W74" s="74"/>
    </row>
    <row r="75" spans="1:23">
      <c r="A75" s="76" t="s">
        <v>1647</v>
      </c>
      <c r="B75" s="76" t="s">
        <v>419</v>
      </c>
      <c r="C75" s="76" t="s">
        <v>1647</v>
      </c>
      <c r="D75" s="79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4"/>
      <c r="P75" s="74"/>
      <c r="Q75" s="74"/>
      <c r="R75" s="74"/>
      <c r="S75" s="74"/>
      <c r="T75" s="74"/>
      <c r="U75" s="74"/>
      <c r="V75" s="74"/>
      <c r="W75" s="74"/>
    </row>
    <row r="76" spans="1:23">
      <c r="A76" s="76" t="s">
        <v>1648</v>
      </c>
      <c r="B76" s="76" t="s">
        <v>420</v>
      </c>
      <c r="C76" s="76" t="s">
        <v>1648</v>
      </c>
      <c r="D76" s="79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  <c r="V76" s="74"/>
      <c r="W76" s="74"/>
    </row>
    <row r="77" spans="1:23">
      <c r="A77" s="76" t="s">
        <v>1649</v>
      </c>
      <c r="B77" s="76" t="s">
        <v>421</v>
      </c>
      <c r="C77" s="76" t="s">
        <v>1649</v>
      </c>
      <c r="D77" s="79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  <c r="V77" s="74"/>
      <c r="W77" s="74"/>
    </row>
    <row r="78" spans="1:23">
      <c r="A78" s="76" t="s">
        <v>1650</v>
      </c>
      <c r="B78" s="76" t="s">
        <v>1051</v>
      </c>
      <c r="C78" s="76" t="s">
        <v>1650</v>
      </c>
      <c r="D78" s="79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4"/>
      <c r="R78" s="74"/>
      <c r="S78" s="74"/>
      <c r="T78" s="74"/>
      <c r="U78" s="74"/>
      <c r="V78" s="74"/>
      <c r="W78" s="74"/>
    </row>
    <row r="79" spans="1:23">
      <c r="A79" s="75"/>
      <c r="B79" s="74"/>
      <c r="C79" s="75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</row>
    <row r="80" spans="1:23">
      <c r="A80" s="75"/>
      <c r="B80" s="74"/>
      <c r="C80" s="75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</row>
    <row r="81" spans="1:23">
      <c r="A81" s="75"/>
      <c r="B81" s="74"/>
      <c r="C81" s="75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  <c r="V81" s="74"/>
      <c r="W81" s="74"/>
    </row>
    <row r="82" spans="1:23">
      <c r="A82" s="75"/>
      <c r="B82" s="74"/>
      <c r="C82" s="75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  <c r="V82" s="74"/>
      <c r="W82" s="74"/>
    </row>
    <row r="83" spans="1:23">
      <c r="A83" s="75"/>
      <c r="B83" s="74"/>
      <c r="C83" s="75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  <c r="V83" s="74"/>
      <c r="W83" s="74"/>
    </row>
    <row r="84" spans="1:23">
      <c r="A84" s="75"/>
      <c r="B84" s="74"/>
      <c r="C84" s="75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</row>
    <row r="85" spans="1:23">
      <c r="A85" s="75"/>
      <c r="B85" s="74"/>
      <c r="C85" s="75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</row>
    <row r="86" spans="1:23">
      <c r="A86" s="75"/>
      <c r="B86" s="74"/>
      <c r="C86" s="75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</row>
    <row r="87" spans="1:23">
      <c r="A87" s="75"/>
      <c r="B87" s="74"/>
      <c r="C87" s="75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</row>
    <row r="88" spans="1:23">
      <c r="A88" s="75"/>
      <c r="B88" s="74"/>
      <c r="C88" s="75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</row>
    <row r="89" spans="1:23">
      <c r="A89" s="75"/>
      <c r="B89" s="74"/>
      <c r="C89" s="75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</row>
    <row r="90" spans="1:23">
      <c r="A90" s="75"/>
      <c r="B90" s="74"/>
      <c r="C90" s="75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  <c r="V90" s="74"/>
      <c r="W90" s="74"/>
    </row>
    <row r="91" spans="1:23">
      <c r="A91" s="75"/>
      <c r="B91" s="74"/>
      <c r="C91" s="75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</row>
    <row r="92" spans="1:23">
      <c r="A92" s="75"/>
      <c r="B92" s="74"/>
      <c r="C92" s="75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74"/>
      <c r="W92" s="74"/>
    </row>
    <row r="93" spans="1:23">
      <c r="A93" s="75"/>
      <c r="B93" s="74"/>
      <c r="C93" s="75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</row>
    <row r="94" spans="1:23">
      <c r="A94" s="75"/>
      <c r="B94" s="74"/>
      <c r="C94" s="75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</row>
    <row r="95" spans="1:23">
      <c r="A95" s="75"/>
      <c r="B95" s="74"/>
      <c r="C95" s="75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  <c r="V95" s="74"/>
      <c r="W95" s="74"/>
    </row>
    <row r="96" spans="1:23">
      <c r="A96" s="75"/>
      <c r="B96" s="74"/>
      <c r="C96" s="75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  <c r="V96" s="74"/>
      <c r="W96" s="74"/>
    </row>
    <row r="97" spans="1:23">
      <c r="A97" s="75"/>
      <c r="B97" s="74"/>
      <c r="C97" s="75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  <c r="V97" s="74"/>
      <c r="W97" s="74"/>
    </row>
    <row r="98" spans="1:23">
      <c r="A98" s="75"/>
      <c r="B98" s="74"/>
      <c r="C98" s="75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4"/>
      <c r="P98" s="74"/>
      <c r="Q98" s="74"/>
      <c r="R98" s="74"/>
      <c r="S98" s="74"/>
      <c r="T98" s="74"/>
      <c r="U98" s="74"/>
      <c r="V98" s="74"/>
      <c r="W98" s="74"/>
    </row>
    <row r="99" spans="1:23">
      <c r="A99" s="75"/>
      <c r="B99" s="74"/>
      <c r="C99" s="75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4"/>
      <c r="P99" s="74"/>
      <c r="Q99" s="74"/>
      <c r="R99" s="74"/>
      <c r="S99" s="74"/>
      <c r="T99" s="74"/>
      <c r="U99" s="74"/>
      <c r="V99" s="74"/>
      <c r="W99" s="74"/>
    </row>
    <row r="100" spans="1:23">
      <c r="A100" s="75"/>
      <c r="B100" s="74"/>
      <c r="C100" s="75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</row>
    <row r="101" spans="1:23">
      <c r="A101" s="75"/>
      <c r="B101" s="74"/>
      <c r="C101" s="75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4"/>
      <c r="T101" s="74"/>
      <c r="U101" s="74"/>
      <c r="V101" s="74"/>
      <c r="W101" s="74"/>
    </row>
    <row r="102" spans="1:23">
      <c r="A102" s="75"/>
      <c r="B102" s="74"/>
      <c r="C102" s="75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4"/>
      <c r="P102" s="74"/>
      <c r="Q102" s="74"/>
      <c r="R102" s="74"/>
      <c r="S102" s="74"/>
      <c r="T102" s="74"/>
      <c r="U102" s="74"/>
      <c r="V102" s="74"/>
      <c r="W102" s="74"/>
    </row>
    <row r="103" spans="1:23">
      <c r="A103" s="75"/>
      <c r="B103" s="74"/>
      <c r="C103" s="75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</row>
    <row r="104" spans="1:23">
      <c r="A104" s="75"/>
      <c r="B104" s="74"/>
      <c r="C104" s="75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4"/>
      <c r="P104" s="74"/>
      <c r="Q104" s="74"/>
      <c r="R104" s="74"/>
      <c r="S104" s="74"/>
      <c r="T104" s="74"/>
      <c r="U104" s="74"/>
      <c r="V104" s="74"/>
      <c r="W104" s="74"/>
    </row>
    <row r="105" spans="1:23">
      <c r="A105" s="75"/>
      <c r="B105" s="74"/>
      <c r="C105" s="75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</row>
    <row r="106" spans="1:23">
      <c r="A106" s="75"/>
      <c r="B106" s="74"/>
      <c r="C106" s="75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4"/>
      <c r="P106" s="74"/>
      <c r="Q106" s="74"/>
      <c r="R106" s="74"/>
      <c r="S106" s="74"/>
      <c r="T106" s="74"/>
      <c r="U106" s="74"/>
      <c r="V106" s="74"/>
      <c r="W106" s="74"/>
    </row>
    <row r="107" spans="1:23">
      <c r="A107" s="75"/>
      <c r="B107" s="74"/>
      <c r="C107" s="75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4"/>
      <c r="P107" s="74"/>
      <c r="Q107" s="74"/>
      <c r="R107" s="74"/>
      <c r="S107" s="74"/>
      <c r="T107" s="74"/>
      <c r="U107" s="74"/>
      <c r="V107" s="74"/>
      <c r="W107" s="74"/>
    </row>
    <row r="108" spans="1:23">
      <c r="A108" s="75"/>
      <c r="B108" s="74"/>
      <c r="C108" s="75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4"/>
      <c r="P108" s="74"/>
      <c r="Q108" s="74"/>
      <c r="R108" s="74"/>
      <c r="S108" s="74"/>
      <c r="T108" s="74"/>
      <c r="U108" s="74"/>
      <c r="V108" s="74"/>
      <c r="W108" s="74"/>
    </row>
    <row r="109" spans="1:23">
      <c r="A109" s="75"/>
      <c r="B109" s="74"/>
      <c r="C109" s="75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</row>
    <row r="110" spans="1:23">
      <c r="A110" s="75"/>
      <c r="B110" s="74"/>
      <c r="C110" s="75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4"/>
      <c r="P110" s="74"/>
      <c r="Q110" s="74"/>
      <c r="R110" s="74"/>
      <c r="S110" s="74"/>
      <c r="T110" s="74"/>
      <c r="U110" s="74"/>
      <c r="V110" s="74"/>
      <c r="W110" s="74"/>
    </row>
    <row r="111" spans="1:23">
      <c r="A111" s="75"/>
      <c r="B111" s="74"/>
      <c r="C111" s="75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4"/>
      <c r="P111" s="74"/>
      <c r="Q111" s="74"/>
      <c r="R111" s="74"/>
      <c r="S111" s="74"/>
      <c r="T111" s="74"/>
      <c r="U111" s="74"/>
      <c r="V111" s="74"/>
      <c r="W111" s="74"/>
    </row>
    <row r="112" spans="1:23">
      <c r="A112" s="75"/>
      <c r="B112" s="74"/>
      <c r="C112" s="75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</row>
    <row r="113" spans="1:23">
      <c r="A113" s="75"/>
      <c r="B113" s="74"/>
      <c r="C113" s="75"/>
      <c r="D113" s="74"/>
      <c r="E113" s="74"/>
      <c r="F113" s="74"/>
      <c r="G113" s="74"/>
      <c r="H113" s="74"/>
      <c r="I113" s="74"/>
      <c r="J113" s="74"/>
      <c r="K113" s="74"/>
      <c r="L113" s="74"/>
      <c r="M113" s="74"/>
      <c r="N113" s="74"/>
      <c r="O113" s="74"/>
      <c r="P113" s="74"/>
      <c r="Q113" s="74"/>
      <c r="R113" s="74"/>
      <c r="S113" s="74"/>
      <c r="T113" s="74"/>
      <c r="U113" s="74"/>
      <c r="V113" s="74"/>
      <c r="W113" s="74"/>
    </row>
    <row r="114" spans="1:23">
      <c r="A114" s="75"/>
      <c r="B114" s="74"/>
      <c r="C114" s="75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4"/>
      <c r="P114" s="74"/>
      <c r="Q114" s="74"/>
      <c r="R114" s="74"/>
      <c r="S114" s="74"/>
      <c r="T114" s="74"/>
      <c r="U114" s="74"/>
      <c r="V114" s="74"/>
      <c r="W114" s="74"/>
    </row>
    <row r="115" spans="1:23">
      <c r="A115" s="75"/>
      <c r="B115" s="74"/>
      <c r="C115" s="75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4"/>
      <c r="P115" s="74"/>
      <c r="Q115" s="74"/>
      <c r="R115" s="74"/>
      <c r="S115" s="74"/>
      <c r="T115" s="74"/>
      <c r="U115" s="74"/>
      <c r="V115" s="74"/>
      <c r="W115" s="74"/>
    </row>
    <row r="116" spans="1:23">
      <c r="A116" s="75"/>
      <c r="B116" s="74"/>
      <c r="C116" s="75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4"/>
      <c r="P116" s="74"/>
      <c r="Q116" s="74"/>
      <c r="R116" s="74"/>
      <c r="S116" s="74"/>
      <c r="T116" s="74"/>
      <c r="U116" s="74"/>
      <c r="V116" s="74"/>
      <c r="W116" s="74"/>
    </row>
    <row r="117" spans="1:23">
      <c r="A117" s="75"/>
      <c r="B117" s="74"/>
      <c r="C117" s="75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4"/>
      <c r="P117" s="74"/>
      <c r="Q117" s="74"/>
      <c r="R117" s="74"/>
      <c r="S117" s="74"/>
      <c r="T117" s="74"/>
      <c r="U117" s="74"/>
      <c r="V117" s="74"/>
      <c r="W117" s="74"/>
    </row>
    <row r="118" spans="1:23">
      <c r="A118" s="75"/>
      <c r="B118" s="74"/>
      <c r="C118" s="75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4"/>
      <c r="P118" s="74"/>
      <c r="Q118" s="74"/>
      <c r="R118" s="74"/>
      <c r="S118" s="74"/>
      <c r="T118" s="74"/>
      <c r="U118" s="74"/>
      <c r="V118" s="74"/>
      <c r="W118" s="74"/>
    </row>
    <row r="119" spans="1:23">
      <c r="A119" s="75"/>
      <c r="B119" s="74"/>
      <c r="C119" s="75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4"/>
      <c r="R119" s="74"/>
      <c r="S119" s="74"/>
      <c r="T119" s="74"/>
      <c r="U119" s="74"/>
      <c r="V119" s="74"/>
      <c r="W119" s="74"/>
    </row>
    <row r="120" spans="1:23">
      <c r="A120" s="75"/>
      <c r="B120" s="74"/>
      <c r="C120" s="75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4"/>
      <c r="P120" s="74"/>
      <c r="Q120" s="74"/>
      <c r="R120" s="74"/>
      <c r="S120" s="74"/>
      <c r="T120" s="74"/>
      <c r="U120" s="74"/>
      <c r="V120" s="74"/>
      <c r="W120" s="74"/>
    </row>
    <row r="121" spans="1:23">
      <c r="A121" s="75"/>
      <c r="B121" s="74"/>
      <c r="C121" s="75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4"/>
      <c r="P121" s="74"/>
      <c r="Q121" s="74"/>
      <c r="R121" s="74"/>
      <c r="S121" s="74"/>
      <c r="T121" s="74"/>
      <c r="U121" s="74"/>
      <c r="V121" s="74"/>
      <c r="W121" s="74"/>
    </row>
    <row r="122" spans="1:23">
      <c r="A122" s="75"/>
      <c r="B122" s="74"/>
      <c r="C122" s="75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4"/>
      <c r="P122" s="74"/>
      <c r="Q122" s="74"/>
      <c r="R122" s="74"/>
      <c r="S122" s="74"/>
      <c r="T122" s="74"/>
      <c r="U122" s="74"/>
      <c r="V122" s="74"/>
      <c r="W122" s="74"/>
    </row>
    <row r="123" spans="1:23">
      <c r="A123" s="75"/>
      <c r="B123" s="74"/>
      <c r="C123" s="75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4"/>
      <c r="P123" s="74"/>
      <c r="Q123" s="74"/>
      <c r="R123" s="74"/>
      <c r="S123" s="74"/>
      <c r="T123" s="74"/>
      <c r="U123" s="74"/>
      <c r="V123" s="74"/>
      <c r="W123" s="74"/>
    </row>
    <row r="124" spans="1:23">
      <c r="A124" s="75"/>
      <c r="B124" s="74"/>
      <c r="C124" s="75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4"/>
      <c r="P124" s="74"/>
      <c r="Q124" s="74"/>
      <c r="R124" s="74"/>
      <c r="S124" s="74"/>
      <c r="T124" s="74"/>
      <c r="U124" s="74"/>
      <c r="V124" s="74"/>
      <c r="W124" s="74"/>
    </row>
    <row r="125" spans="1:23">
      <c r="A125" s="75"/>
      <c r="B125" s="74"/>
      <c r="C125" s="75"/>
      <c r="D125" s="74"/>
      <c r="E125" s="74"/>
      <c r="F125" s="74"/>
      <c r="G125" s="74"/>
      <c r="H125" s="74"/>
      <c r="I125" s="74"/>
      <c r="J125" s="74"/>
      <c r="K125" s="74"/>
      <c r="L125" s="74"/>
      <c r="M125" s="74"/>
      <c r="N125" s="74"/>
      <c r="O125" s="74"/>
      <c r="P125" s="74"/>
      <c r="Q125" s="74"/>
      <c r="R125" s="74"/>
      <c r="S125" s="74"/>
      <c r="T125" s="74"/>
      <c r="U125" s="74"/>
      <c r="V125" s="74"/>
      <c r="W125" s="74"/>
    </row>
    <row r="126" spans="1:23">
      <c r="A126" s="75"/>
      <c r="B126" s="74"/>
      <c r="C126" s="75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</row>
    <row r="127" spans="1:23">
      <c r="A127" s="75"/>
      <c r="B127" s="74"/>
      <c r="C127" s="75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</row>
    <row r="128" spans="1:23">
      <c r="A128" s="75"/>
      <c r="B128" s="74"/>
      <c r="C128" s="75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</row>
    <row r="129" spans="1:23">
      <c r="A129" s="75"/>
      <c r="B129" s="74"/>
      <c r="C129" s="75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</row>
    <row r="130" spans="1:23">
      <c r="A130" s="75"/>
      <c r="B130" s="74"/>
      <c r="C130" s="75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4"/>
      <c r="P130" s="74"/>
      <c r="Q130" s="74"/>
      <c r="R130" s="74"/>
      <c r="S130" s="74"/>
      <c r="T130" s="74"/>
      <c r="U130" s="74"/>
      <c r="V130" s="74"/>
      <c r="W130" s="74"/>
    </row>
    <row r="131" spans="1:23">
      <c r="A131" s="75"/>
      <c r="B131" s="74"/>
      <c r="C131" s="75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4"/>
      <c r="P131" s="74"/>
      <c r="Q131" s="74"/>
      <c r="R131" s="74"/>
      <c r="S131" s="74"/>
      <c r="T131" s="74"/>
      <c r="U131" s="74"/>
      <c r="V131" s="74"/>
      <c r="W131" s="74"/>
    </row>
    <row r="132" spans="1:23">
      <c r="A132" s="75"/>
      <c r="B132" s="74"/>
      <c r="C132" s="75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</row>
    <row r="133" spans="1:23">
      <c r="A133" s="75"/>
      <c r="B133" s="74"/>
      <c r="C133" s="75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</row>
    <row r="134" spans="1:23">
      <c r="A134" s="75"/>
      <c r="B134" s="74"/>
      <c r="C134" s="75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4"/>
      <c r="T134" s="74"/>
      <c r="U134" s="74"/>
      <c r="V134" s="74"/>
      <c r="W134" s="74"/>
    </row>
    <row r="135" spans="1:23">
      <c r="A135" s="75"/>
      <c r="B135" s="74"/>
      <c r="C135" s="75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4"/>
      <c r="V135" s="74"/>
      <c r="W135" s="74"/>
    </row>
    <row r="136" spans="1:23">
      <c r="A136" s="75"/>
      <c r="B136" s="74"/>
      <c r="C136" s="75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</row>
    <row r="137" spans="1:23">
      <c r="A137" s="75"/>
      <c r="B137" s="74"/>
      <c r="C137" s="75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</row>
    <row r="138" spans="1:23">
      <c r="A138" s="75"/>
      <c r="B138" s="74"/>
      <c r="C138" s="75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4"/>
      <c r="T138" s="74"/>
      <c r="U138" s="74"/>
      <c r="V138" s="74"/>
      <c r="W138" s="74"/>
    </row>
    <row r="139" spans="1:23">
      <c r="A139" s="75"/>
      <c r="B139" s="74"/>
      <c r="C139" s="75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</row>
    <row r="140" spans="1:23">
      <c r="A140" s="75"/>
      <c r="B140" s="74"/>
      <c r="C140" s="75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</row>
    <row r="141" spans="1:23">
      <c r="A141" s="75"/>
      <c r="B141" s="74"/>
      <c r="C141" s="75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4"/>
      <c r="T141" s="74"/>
      <c r="U141" s="74"/>
      <c r="V141" s="74"/>
      <c r="W141" s="74"/>
    </row>
    <row r="142" spans="1:23">
      <c r="A142" s="75"/>
      <c r="B142" s="74"/>
      <c r="C142" s="75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</row>
    <row r="143" spans="1:23">
      <c r="A143" s="75"/>
      <c r="B143" s="74"/>
      <c r="C143" s="75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4"/>
    </row>
    <row r="144" spans="1:23">
      <c r="A144" s="75"/>
      <c r="B144" s="74"/>
      <c r="C144" s="75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4"/>
      <c r="P144" s="74"/>
      <c r="Q144" s="74"/>
      <c r="R144" s="74"/>
      <c r="S144" s="74"/>
      <c r="T144" s="74"/>
      <c r="U144" s="74"/>
      <c r="V144" s="74"/>
      <c r="W144" s="74"/>
    </row>
    <row r="145" spans="1:23">
      <c r="A145" s="75"/>
      <c r="B145" s="74"/>
      <c r="C145" s="75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4"/>
      <c r="P145" s="74"/>
      <c r="Q145" s="74"/>
      <c r="R145" s="74"/>
      <c r="S145" s="74"/>
      <c r="T145" s="74"/>
      <c r="U145" s="74"/>
      <c r="V145" s="74"/>
      <c r="W145" s="74"/>
    </row>
    <row r="146" spans="1:23">
      <c r="A146" s="75"/>
      <c r="B146" s="74"/>
      <c r="C146" s="75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4"/>
      <c r="P146" s="74"/>
      <c r="Q146" s="74"/>
      <c r="R146" s="74"/>
      <c r="S146" s="74"/>
      <c r="T146" s="74"/>
      <c r="U146" s="74"/>
      <c r="V146" s="74"/>
      <c r="W146" s="74"/>
    </row>
    <row r="147" spans="1:23">
      <c r="A147" s="75"/>
      <c r="B147" s="74"/>
      <c r="C147" s="75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4"/>
      <c r="P147" s="74"/>
      <c r="Q147" s="74"/>
      <c r="R147" s="74"/>
      <c r="S147" s="74"/>
      <c r="T147" s="74"/>
      <c r="U147" s="74"/>
      <c r="V147" s="74"/>
      <c r="W147" s="74"/>
    </row>
    <row r="148" spans="1:23">
      <c r="A148" s="75"/>
      <c r="B148" s="74"/>
      <c r="C148" s="75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4"/>
      <c r="P148" s="74"/>
      <c r="Q148" s="74"/>
      <c r="R148" s="74"/>
      <c r="S148" s="74"/>
      <c r="T148" s="74"/>
      <c r="U148" s="74"/>
      <c r="V148" s="74"/>
      <c r="W148" s="74"/>
    </row>
    <row r="149" spans="1:23">
      <c r="A149" s="75"/>
      <c r="B149" s="74"/>
      <c r="C149" s="75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</row>
    <row r="150" spans="1:23">
      <c r="A150" s="75"/>
      <c r="B150" s="74"/>
      <c r="C150" s="75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4"/>
      <c r="P150" s="74"/>
      <c r="Q150" s="74"/>
      <c r="R150" s="74"/>
      <c r="S150" s="74"/>
      <c r="T150" s="74"/>
      <c r="U150" s="74"/>
      <c r="V150" s="74"/>
      <c r="W150" s="74"/>
    </row>
    <row r="151" spans="1:23">
      <c r="A151" s="75"/>
      <c r="B151" s="74"/>
      <c r="C151" s="75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4"/>
      <c r="P151" s="74"/>
      <c r="Q151" s="74"/>
      <c r="R151" s="74"/>
      <c r="S151" s="74"/>
      <c r="T151" s="74"/>
      <c r="U151" s="74"/>
      <c r="V151" s="74"/>
      <c r="W151" s="74"/>
    </row>
    <row r="152" spans="1:23">
      <c r="A152" s="75"/>
      <c r="B152" s="74"/>
      <c r="C152" s="75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4"/>
      <c r="P152" s="74"/>
      <c r="Q152" s="74"/>
      <c r="R152" s="74"/>
      <c r="S152" s="74"/>
      <c r="T152" s="74"/>
      <c r="U152" s="74"/>
      <c r="V152" s="74"/>
      <c r="W152" s="74"/>
    </row>
    <row r="153" spans="1:23">
      <c r="A153" s="75"/>
      <c r="B153" s="74"/>
      <c r="C153" s="75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</row>
    <row r="154" spans="1:23">
      <c r="A154" s="75"/>
      <c r="B154" s="74"/>
      <c r="C154" s="75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74"/>
      <c r="R154" s="74"/>
      <c r="S154" s="74"/>
      <c r="T154" s="74"/>
      <c r="U154" s="74"/>
      <c r="V154" s="74"/>
      <c r="W154" s="74"/>
    </row>
    <row r="155" spans="1:23">
      <c r="A155" s="75"/>
      <c r="B155" s="74"/>
      <c r="C155" s="75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4"/>
      <c r="P155" s="74"/>
      <c r="Q155" s="74"/>
      <c r="R155" s="74"/>
      <c r="S155" s="74"/>
      <c r="T155" s="74"/>
      <c r="U155" s="74"/>
      <c r="V155" s="74"/>
      <c r="W155" s="74"/>
    </row>
    <row r="156" spans="1:23">
      <c r="A156" s="75"/>
      <c r="B156" s="74"/>
      <c r="C156" s="75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4"/>
      <c r="P156" s="74"/>
      <c r="Q156" s="74"/>
      <c r="R156" s="74"/>
      <c r="S156" s="74"/>
      <c r="T156" s="74"/>
      <c r="U156" s="74"/>
      <c r="V156" s="74"/>
      <c r="W156" s="74"/>
    </row>
    <row r="157" spans="1:23">
      <c r="A157" s="75"/>
      <c r="B157" s="74"/>
      <c r="C157" s="75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4"/>
      <c r="T157" s="74"/>
      <c r="U157" s="74"/>
      <c r="V157" s="74"/>
      <c r="W157" s="74"/>
    </row>
    <row r="158" spans="1:23">
      <c r="A158" s="75"/>
      <c r="B158" s="74"/>
      <c r="C158" s="75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4"/>
      <c r="P158" s="74"/>
      <c r="Q158" s="74"/>
      <c r="R158" s="74"/>
      <c r="S158" s="74"/>
      <c r="T158" s="74"/>
      <c r="U158" s="74"/>
      <c r="V158" s="74"/>
      <c r="W158" s="74"/>
    </row>
    <row r="159" spans="1:23">
      <c r="A159" s="75"/>
      <c r="B159" s="74"/>
      <c r="C159" s="75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4"/>
      <c r="P159" s="74"/>
      <c r="Q159" s="74"/>
      <c r="R159" s="74"/>
      <c r="S159" s="74"/>
      <c r="T159" s="74"/>
      <c r="U159" s="74"/>
      <c r="V159" s="74"/>
      <c r="W159" s="74"/>
    </row>
    <row r="160" spans="1:23">
      <c r="A160" s="75"/>
      <c r="B160" s="74"/>
      <c r="C160" s="75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4"/>
      <c r="P160" s="74"/>
      <c r="Q160" s="74"/>
      <c r="R160" s="74"/>
      <c r="S160" s="74"/>
      <c r="T160" s="74"/>
      <c r="U160" s="74"/>
      <c r="V160" s="74"/>
      <c r="W160" s="74"/>
    </row>
    <row r="161" spans="1:23">
      <c r="A161" s="75"/>
      <c r="B161" s="74"/>
      <c r="C161" s="75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4"/>
      <c r="P161" s="74"/>
      <c r="Q161" s="74"/>
      <c r="R161" s="74"/>
      <c r="S161" s="74"/>
      <c r="T161" s="74"/>
      <c r="U161" s="74"/>
      <c r="V161" s="74"/>
      <c r="W161" s="74"/>
    </row>
    <row r="162" spans="1:23">
      <c r="A162" s="75"/>
      <c r="B162" s="74"/>
      <c r="C162" s="75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4"/>
      <c r="P162" s="74"/>
      <c r="Q162" s="74"/>
      <c r="R162" s="74"/>
      <c r="S162" s="74"/>
      <c r="T162" s="74"/>
      <c r="U162" s="74"/>
      <c r="V162" s="74"/>
      <c r="W162" s="7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9"/>
  <sheetViews>
    <sheetView showGridLines="0" zoomScaleNormal="100" workbookViewId="0">
      <pane ySplit="1" topLeftCell="A141" activePane="bottomLeft" state="frozen"/>
      <selection activeCell="D85" sqref="D85"/>
      <selection pane="bottomLeft" activeCell="B1" sqref="B1:C1048576"/>
    </sheetView>
  </sheetViews>
  <sheetFormatPr defaultColWidth="8.6640625" defaultRowHeight="14.4"/>
  <cols>
    <col min="1" max="1" width="6" style="90" customWidth="1"/>
    <col min="2" max="2" width="48.88671875" style="90" bestFit="1" customWidth="1"/>
    <col min="3" max="3" width="15" style="90" customWidth="1"/>
    <col min="4" max="5" width="22" style="90" customWidth="1"/>
    <col min="6" max="6" width="20" style="90" customWidth="1"/>
    <col min="7" max="7" width="34.33203125" style="90" bestFit="1" customWidth="1"/>
    <col min="8" max="8" width="15" style="90" customWidth="1"/>
    <col min="9" max="9" width="22" style="90" customWidth="1"/>
    <col min="10" max="10" width="20" style="90" customWidth="1"/>
    <col min="11" max="11" width="35.33203125" style="90" customWidth="1"/>
    <col min="12" max="16384" width="8.6640625" style="90"/>
  </cols>
  <sheetData>
    <row r="1" spans="1:11" ht="30" customHeight="1">
      <c r="A1" s="89" t="s">
        <v>1730</v>
      </c>
      <c r="B1" s="89"/>
      <c r="C1" s="89" t="s">
        <v>1731</v>
      </c>
      <c r="D1" s="89" t="s">
        <v>1732</v>
      </c>
      <c r="E1" s="89" t="s">
        <v>1733</v>
      </c>
      <c r="F1" s="89" t="s">
        <v>1734</v>
      </c>
      <c r="G1" s="89"/>
      <c r="H1" s="89" t="s">
        <v>1735</v>
      </c>
      <c r="I1" s="89" t="s">
        <v>1736</v>
      </c>
      <c r="J1" s="89" t="s">
        <v>1737</v>
      </c>
      <c r="K1" s="89" t="s">
        <v>1553</v>
      </c>
    </row>
    <row r="2" spans="1:11">
      <c r="A2" s="91">
        <v>1</v>
      </c>
      <c r="B2" s="91" t="str">
        <f>D2&amp;", "&amp;E2&amp;", "&amp;F2</f>
        <v>Phường Hà Phong, Thành phố Hạ Long, Tỉnh Quảng Ninh</v>
      </c>
      <c r="C2" s="91" t="s">
        <v>213</v>
      </c>
      <c r="D2" s="92" t="s">
        <v>805</v>
      </c>
      <c r="E2" s="92" t="s">
        <v>1738</v>
      </c>
      <c r="F2" s="92" t="s">
        <v>1739</v>
      </c>
      <c r="G2" s="92" t="str">
        <f>I2&amp;", "&amp;J2</f>
        <v>Phường Hà Tu, Tỉnh Quảng Ninh</v>
      </c>
      <c r="H2" s="93" t="s">
        <v>213</v>
      </c>
      <c r="I2" s="92" t="s">
        <v>809</v>
      </c>
      <c r="J2" s="92" t="s">
        <v>1739</v>
      </c>
      <c r="K2" s="92"/>
    </row>
    <row r="3" spans="1:11">
      <c r="A3" s="91">
        <v>2</v>
      </c>
      <c r="B3" s="91" t="str">
        <f t="shared" ref="B3:B66" si="0">D3&amp;", "&amp;E3&amp;", "&amp;F3</f>
        <v>Phường Hà Tu, Thành phố Hạ Long, Tỉnh Quảng Ninh</v>
      </c>
      <c r="C3" s="91" t="s">
        <v>217</v>
      </c>
      <c r="D3" s="92" t="s">
        <v>809</v>
      </c>
      <c r="E3" s="92" t="s">
        <v>1738</v>
      </c>
      <c r="F3" s="92" t="s">
        <v>1739</v>
      </c>
      <c r="G3" s="92" t="str">
        <f t="shared" ref="G3:G66" si="1">I3&amp;", "&amp;J3</f>
        <v>Phường Hà Tu, Tỉnh Quảng Ninh</v>
      </c>
      <c r="H3" s="91" t="s">
        <v>213</v>
      </c>
      <c r="I3" s="92" t="s">
        <v>809</v>
      </c>
      <c r="J3" s="92" t="s">
        <v>1739</v>
      </c>
      <c r="K3" s="92"/>
    </row>
    <row r="4" spans="1:11">
      <c r="A4" s="91">
        <v>3</v>
      </c>
      <c r="B4" s="91" t="str">
        <f t="shared" si="0"/>
        <v>Phường Hà Khánh, Thành phố Hạ Long, Tỉnh Quảng Ninh</v>
      </c>
      <c r="C4" s="91" t="s">
        <v>212</v>
      </c>
      <c r="D4" s="92" t="s">
        <v>804</v>
      </c>
      <c r="E4" s="92" t="s">
        <v>1738</v>
      </c>
      <c r="F4" s="92" t="s">
        <v>1739</v>
      </c>
      <c r="G4" s="92" t="str">
        <f t="shared" si="1"/>
        <v>Phường Cao Xanh, Tỉnh Quảng Ninh</v>
      </c>
      <c r="H4" s="91" t="s">
        <v>215</v>
      </c>
      <c r="I4" s="92" t="s">
        <v>807</v>
      </c>
      <c r="J4" s="92" t="s">
        <v>1739</v>
      </c>
      <c r="K4" s="92"/>
    </row>
    <row r="5" spans="1:11">
      <c r="A5" s="91">
        <v>4</v>
      </c>
      <c r="B5" s="91" t="str">
        <f t="shared" si="0"/>
        <v>Phường Cao Xanh, Thành phố Hạ Long, Tỉnh Quảng Ninh</v>
      </c>
      <c r="C5" s="91" t="s">
        <v>215</v>
      </c>
      <c r="D5" s="92" t="s">
        <v>807</v>
      </c>
      <c r="E5" s="92" t="s">
        <v>1738</v>
      </c>
      <c r="F5" s="92" t="s">
        <v>1739</v>
      </c>
      <c r="G5" s="92" t="str">
        <f t="shared" si="1"/>
        <v>Phường Cao Xanh, Tỉnh Quảng Ninh</v>
      </c>
      <c r="H5" s="91" t="s">
        <v>215</v>
      </c>
      <c r="I5" s="92" t="s">
        <v>807</v>
      </c>
      <c r="J5" s="92" t="s">
        <v>1739</v>
      </c>
      <c r="K5" s="92"/>
    </row>
    <row r="6" spans="1:11">
      <c r="A6" s="91">
        <v>5</v>
      </c>
      <c r="B6" s="91" t="str">
        <f t="shared" si="0"/>
        <v>Phường Hà Khẩu, Thành phố Hạ Long, Tỉnh Quảng Ninh</v>
      </c>
      <c r="C6" s="91" t="s">
        <v>214</v>
      </c>
      <c r="D6" s="92" t="s">
        <v>806</v>
      </c>
      <c r="E6" s="92" t="s">
        <v>1738</v>
      </c>
      <c r="F6" s="92" t="s">
        <v>1739</v>
      </c>
      <c r="G6" s="92" t="str">
        <f t="shared" si="1"/>
        <v>Phường Việt Hưng, Tỉnh Quảng Ninh</v>
      </c>
      <c r="H6" s="91" t="s">
        <v>216</v>
      </c>
      <c r="I6" s="92" t="s">
        <v>775</v>
      </c>
      <c r="J6" s="92" t="s">
        <v>1739</v>
      </c>
      <c r="K6" s="92"/>
    </row>
    <row r="7" spans="1:11">
      <c r="A7" s="91">
        <v>6</v>
      </c>
      <c r="B7" s="91" t="str">
        <f t="shared" si="0"/>
        <v>Phường Giếng Đáy, Thành phố Hạ Long, Tỉnh Quảng Ninh</v>
      </c>
      <c r="C7" s="91" t="s">
        <v>216</v>
      </c>
      <c r="D7" s="92" t="s">
        <v>808</v>
      </c>
      <c r="E7" s="92" t="s">
        <v>1738</v>
      </c>
      <c r="F7" s="92" t="s">
        <v>1739</v>
      </c>
      <c r="G7" s="92" t="str">
        <f t="shared" si="1"/>
        <v>Phường Việt Hưng, Tỉnh Quảng Ninh</v>
      </c>
      <c r="H7" s="91" t="s">
        <v>216</v>
      </c>
      <c r="I7" s="92" t="s">
        <v>775</v>
      </c>
      <c r="J7" s="92" t="s">
        <v>1739</v>
      </c>
      <c r="K7" s="92"/>
    </row>
    <row r="8" spans="1:11">
      <c r="A8" s="91">
        <v>7</v>
      </c>
      <c r="B8" s="91" t="str">
        <f t="shared" si="0"/>
        <v>Phường Việt Hưng, Thành phố Hạ Long, Tỉnh Quảng Ninh</v>
      </c>
      <c r="C8" s="91" t="s">
        <v>229</v>
      </c>
      <c r="D8" s="92" t="s">
        <v>775</v>
      </c>
      <c r="E8" s="92" t="s">
        <v>1738</v>
      </c>
      <c r="F8" s="92" t="s">
        <v>1739</v>
      </c>
      <c r="G8" s="92" t="str">
        <f t="shared" si="1"/>
        <v>Phường Việt Hưng, Tỉnh Quảng Ninh</v>
      </c>
      <c r="H8" s="91" t="s">
        <v>216</v>
      </c>
      <c r="I8" s="92" t="s">
        <v>775</v>
      </c>
      <c r="J8" s="92" t="s">
        <v>1739</v>
      </c>
      <c r="K8" s="92"/>
    </row>
    <row r="9" spans="1:11">
      <c r="A9" s="91">
        <v>8</v>
      </c>
      <c r="B9" s="91" t="str">
        <f t="shared" si="0"/>
        <v>Phường Bãi Cháy, Thành phố Hạ Long, Tỉnh Quảng Ninh</v>
      </c>
      <c r="C9" s="91" t="s">
        <v>220</v>
      </c>
      <c r="D9" s="92" t="s">
        <v>812</v>
      </c>
      <c r="E9" s="92" t="s">
        <v>1738</v>
      </c>
      <c r="F9" s="92" t="s">
        <v>1739</v>
      </c>
      <c r="G9" s="92" t="str">
        <f t="shared" si="1"/>
        <v>Phường Bãi Cháy, Tỉnh Quảng Ninh</v>
      </c>
      <c r="H9" s="93" t="s">
        <v>220</v>
      </c>
      <c r="I9" s="92" t="s">
        <v>812</v>
      </c>
      <c r="J9" s="92" t="s">
        <v>1739</v>
      </c>
      <c r="K9" s="92"/>
    </row>
    <row r="10" spans="1:11">
      <c r="A10" s="91">
        <v>9</v>
      </c>
      <c r="B10" s="91" t="str">
        <f t="shared" si="0"/>
        <v>Phường Hùng Thắng, Thành phố Hạ Long, Tỉnh Quảng Ninh</v>
      </c>
      <c r="C10" s="91" t="s">
        <v>222</v>
      </c>
      <c r="D10" s="92" t="s">
        <v>814</v>
      </c>
      <c r="E10" s="92" t="s">
        <v>1738</v>
      </c>
      <c r="F10" s="92" t="s">
        <v>1739</v>
      </c>
      <c r="G10" s="92" t="str">
        <f t="shared" si="1"/>
        <v>Phường Bãi Cháy, Tỉnh Quảng Ninh</v>
      </c>
      <c r="H10" s="91" t="s">
        <v>220</v>
      </c>
      <c r="I10" s="92" t="s">
        <v>812</v>
      </c>
      <c r="J10" s="92" t="s">
        <v>1739</v>
      </c>
      <c r="K10" s="92"/>
    </row>
    <row r="11" spans="1:11">
      <c r="A11" s="91">
        <v>10</v>
      </c>
      <c r="B11" s="91" t="str">
        <f t="shared" si="0"/>
        <v>Phường Hà Trung, Thành phố Hạ Long, Tỉnh Quảng Ninh</v>
      </c>
      <c r="C11" s="91" t="s">
        <v>218</v>
      </c>
      <c r="D11" s="92" t="s">
        <v>810</v>
      </c>
      <c r="E11" s="92" t="s">
        <v>1738</v>
      </c>
      <c r="F11" s="92" t="s">
        <v>1739</v>
      </c>
      <c r="G11" s="92" t="str">
        <f t="shared" si="1"/>
        <v>Phường Hà Lầm, Tỉnh Quảng Ninh</v>
      </c>
      <c r="H11" s="91" t="s">
        <v>221</v>
      </c>
      <c r="I11" s="92" t="s">
        <v>811</v>
      </c>
      <c r="J11" s="92" t="s">
        <v>1739</v>
      </c>
      <c r="K11" s="92"/>
    </row>
    <row r="12" spans="1:11">
      <c r="A12" s="91">
        <v>11</v>
      </c>
      <c r="B12" s="91" t="str">
        <f t="shared" si="0"/>
        <v>Phường Hà Lầm, Thành phố Hạ Long, Tỉnh Quảng Ninh</v>
      </c>
      <c r="C12" s="91" t="s">
        <v>219</v>
      </c>
      <c r="D12" s="92" t="s">
        <v>811</v>
      </c>
      <c r="E12" s="92" t="s">
        <v>1738</v>
      </c>
      <c r="F12" s="92" t="s">
        <v>1739</v>
      </c>
      <c r="G12" s="92" t="str">
        <f t="shared" si="1"/>
        <v>Phường Hà Lầm, Tỉnh Quảng Ninh</v>
      </c>
      <c r="H12" s="91" t="s">
        <v>221</v>
      </c>
      <c r="I12" s="92" t="s">
        <v>811</v>
      </c>
      <c r="J12" s="92" t="s">
        <v>1739</v>
      </c>
      <c r="K12" s="92"/>
    </row>
    <row r="13" spans="1:11">
      <c r="A13" s="91">
        <v>12</v>
      </c>
      <c r="B13" s="91" t="str">
        <f t="shared" si="0"/>
        <v>Phường Cao Thắng, Thành phố Hạ Long, Tỉnh Quảng Ninh</v>
      </c>
      <c r="C13" s="91" t="s">
        <v>221</v>
      </c>
      <c r="D13" s="92" t="s">
        <v>813</v>
      </c>
      <c r="E13" s="92" t="s">
        <v>1738</v>
      </c>
      <c r="F13" s="92" t="s">
        <v>1739</v>
      </c>
      <c r="G13" s="92" t="str">
        <f t="shared" si="1"/>
        <v>Phường Hà Lầm, Tỉnh Quảng Ninh</v>
      </c>
      <c r="H13" s="91" t="s">
        <v>221</v>
      </c>
      <c r="I13" s="92" t="s">
        <v>811</v>
      </c>
      <c r="J13" s="92" t="s">
        <v>1739</v>
      </c>
      <c r="K13" s="92"/>
    </row>
    <row r="14" spans="1:11">
      <c r="A14" s="91">
        <v>13</v>
      </c>
      <c r="B14" s="91" t="str">
        <f t="shared" si="0"/>
        <v>Phường Trần Hưng Đạo, Thành phố Hạ Long, Tỉnh Quảng Ninh</v>
      </c>
      <c r="C14" s="91" t="s">
        <v>223</v>
      </c>
      <c r="D14" s="92" t="s">
        <v>774</v>
      </c>
      <c r="E14" s="92" t="s">
        <v>1738</v>
      </c>
      <c r="F14" s="92" t="s">
        <v>1739</v>
      </c>
      <c r="G14" s="92" t="str">
        <f t="shared" si="1"/>
        <v>Phường Hồng Gai, Tỉnh Quảng Ninh</v>
      </c>
      <c r="H14" s="91" t="s">
        <v>223</v>
      </c>
      <c r="I14" s="92" t="s">
        <v>816</v>
      </c>
      <c r="J14" s="92" t="s">
        <v>1739</v>
      </c>
      <c r="K14" s="92"/>
    </row>
    <row r="15" spans="1:11">
      <c r="A15" s="91">
        <v>14</v>
      </c>
      <c r="B15" s="91" t="str">
        <f t="shared" si="0"/>
        <v>Phường Hồng Gai, Thành phố Hạ Long, Tỉnh Quảng Ninh</v>
      </c>
      <c r="C15" s="91" t="s">
        <v>225</v>
      </c>
      <c r="D15" s="92" t="s">
        <v>816</v>
      </c>
      <c r="E15" s="92" t="s">
        <v>1738</v>
      </c>
      <c r="F15" s="92" t="s">
        <v>1739</v>
      </c>
      <c r="G15" s="92" t="str">
        <f t="shared" si="1"/>
        <v>Phường Hồng Gai, Tỉnh Quảng Ninh</v>
      </c>
      <c r="H15" s="91" t="s">
        <v>223</v>
      </c>
      <c r="I15" s="92" t="s">
        <v>816</v>
      </c>
      <c r="J15" s="92" t="s">
        <v>1739</v>
      </c>
      <c r="K15" s="92"/>
    </row>
    <row r="16" spans="1:11">
      <c r="A16" s="91">
        <v>15</v>
      </c>
      <c r="B16" s="91" t="str">
        <f t="shared" si="0"/>
        <v>Phường Bạch Đằng, Thành phố Hạ Long, Tỉnh Quảng Ninh</v>
      </c>
      <c r="C16" s="91" t="s">
        <v>226</v>
      </c>
      <c r="D16" s="92" t="s">
        <v>777</v>
      </c>
      <c r="E16" s="92" t="s">
        <v>1738</v>
      </c>
      <c r="F16" s="92" t="s">
        <v>1739</v>
      </c>
      <c r="G16" s="92" t="str">
        <f t="shared" si="1"/>
        <v>Phường Hồng Gai, Tỉnh Quảng Ninh</v>
      </c>
      <c r="H16" s="91" t="s">
        <v>223</v>
      </c>
      <c r="I16" s="92" t="s">
        <v>816</v>
      </c>
      <c r="J16" s="92" t="s">
        <v>1739</v>
      </c>
      <c r="K16" s="92"/>
    </row>
    <row r="17" spans="1:11">
      <c r="A17" s="91">
        <v>16</v>
      </c>
      <c r="B17" s="91" t="str">
        <f t="shared" si="0"/>
        <v>Phường Hồng Hải, Thành phố Hạ Long, Tỉnh Quảng Ninh</v>
      </c>
      <c r="C17" s="91" t="s">
        <v>224</v>
      </c>
      <c r="D17" s="92" t="s">
        <v>815</v>
      </c>
      <c r="E17" s="92" t="s">
        <v>1738</v>
      </c>
      <c r="F17" s="92" t="s">
        <v>1739</v>
      </c>
      <c r="G17" s="92" t="str">
        <f t="shared" si="1"/>
        <v>Phường Hạ Long, Tỉnh Quảng Ninh</v>
      </c>
      <c r="H17" s="91" t="s">
        <v>224</v>
      </c>
      <c r="I17" s="92" t="s">
        <v>940</v>
      </c>
      <c r="J17" s="92" t="s">
        <v>1739</v>
      </c>
      <c r="K17" s="92"/>
    </row>
    <row r="18" spans="1:11">
      <c r="A18" s="91">
        <v>17</v>
      </c>
      <c r="B18" s="91" t="str">
        <f t="shared" si="0"/>
        <v>Phường Hồng Hà, Thành phố Hạ Long, Tỉnh Quảng Ninh</v>
      </c>
      <c r="C18" s="91" t="s">
        <v>227</v>
      </c>
      <c r="D18" s="92" t="s">
        <v>798</v>
      </c>
      <c r="E18" s="92" t="s">
        <v>1738</v>
      </c>
      <c r="F18" s="92" t="s">
        <v>1739</v>
      </c>
      <c r="G18" s="92" t="str">
        <f t="shared" si="1"/>
        <v>Phường Hạ Long, Tỉnh Quảng Ninh</v>
      </c>
      <c r="H18" s="91" t="s">
        <v>224</v>
      </c>
      <c r="I18" s="92" t="s">
        <v>940</v>
      </c>
      <c r="J18" s="92" t="s">
        <v>1739</v>
      </c>
      <c r="K18" s="92"/>
    </row>
    <row r="19" spans="1:11">
      <c r="A19" s="91">
        <v>18</v>
      </c>
      <c r="B19" s="91" t="str">
        <f t="shared" si="0"/>
        <v>Phường Hà Khẩu, Thành phố Hạ Long, Tỉnh Quảng Ninh</v>
      </c>
      <c r="C19" s="91" t="s">
        <v>214</v>
      </c>
      <c r="D19" s="92" t="s">
        <v>806</v>
      </c>
      <c r="E19" s="92" t="s">
        <v>1738</v>
      </c>
      <c r="F19" s="92" t="s">
        <v>1739</v>
      </c>
      <c r="G19" s="92" t="str">
        <f t="shared" si="1"/>
        <v>Phường Tuần Châu, Tỉnh Quảng Ninh</v>
      </c>
      <c r="H19" s="91" t="s">
        <v>230</v>
      </c>
      <c r="I19" s="92" t="s">
        <v>817</v>
      </c>
      <c r="J19" s="92" t="s">
        <v>1739</v>
      </c>
      <c r="K19" s="92"/>
    </row>
    <row r="20" spans="1:11">
      <c r="A20" s="91">
        <v>19</v>
      </c>
      <c r="B20" s="91" t="str">
        <f t="shared" si="0"/>
        <v>Phường Tuần Châu, Thành phố Hạ Long, Tỉnh Quảng Ninh</v>
      </c>
      <c r="C20" s="91" t="s">
        <v>228</v>
      </c>
      <c r="D20" s="92" t="s">
        <v>817</v>
      </c>
      <c r="E20" s="92" t="s">
        <v>1738</v>
      </c>
      <c r="F20" s="92" t="s">
        <v>1739</v>
      </c>
      <c r="G20" s="92" t="str">
        <f t="shared" si="1"/>
        <v>Phường Tuần Châu, Tỉnh Quảng Ninh</v>
      </c>
      <c r="H20" s="91" t="s">
        <v>230</v>
      </c>
      <c r="I20" s="92" t="s">
        <v>817</v>
      </c>
      <c r="J20" s="92" t="s">
        <v>1739</v>
      </c>
      <c r="K20" s="92"/>
    </row>
    <row r="21" spans="1:11">
      <c r="A21" s="91">
        <v>20</v>
      </c>
      <c r="B21" s="91" t="str">
        <f t="shared" si="0"/>
        <v>Phường Đại Yên, Thành phố Hạ Long, Tỉnh Quảng Ninh</v>
      </c>
      <c r="C21" s="91" t="s">
        <v>230</v>
      </c>
      <c r="D21" s="92" t="s">
        <v>818</v>
      </c>
      <c r="E21" s="92" t="s">
        <v>1738</v>
      </c>
      <c r="F21" s="92" t="s">
        <v>1739</v>
      </c>
      <c r="G21" s="92" t="str">
        <f t="shared" si="1"/>
        <v>Phường Tuần Châu, Tỉnh Quảng Ninh</v>
      </c>
      <c r="H21" s="91" t="s">
        <v>230</v>
      </c>
      <c r="I21" s="92" t="s">
        <v>817</v>
      </c>
      <c r="J21" s="92" t="s">
        <v>1739</v>
      </c>
      <c r="K21" s="92"/>
    </row>
    <row r="22" spans="1:11">
      <c r="A22" s="91">
        <v>21</v>
      </c>
      <c r="B22" s="91" t="str">
        <f t="shared" si="0"/>
        <v>Phường Ka Long, Thành phố Móng Cái, Tỉnh Quảng Ninh</v>
      </c>
      <c r="C22" s="91" t="s">
        <v>244</v>
      </c>
      <c r="D22" s="92" t="s">
        <v>827</v>
      </c>
      <c r="E22" s="92" t="s">
        <v>1740</v>
      </c>
      <c r="F22" s="92" t="s">
        <v>1739</v>
      </c>
      <c r="G22" s="92" t="str">
        <f t="shared" si="1"/>
        <v>Phường Móng Cái 2, Tỉnh Quảng Ninh</v>
      </c>
      <c r="H22" s="91" t="s">
        <v>244</v>
      </c>
      <c r="I22" s="92" t="s">
        <v>1741</v>
      </c>
      <c r="J22" s="92" t="s">
        <v>1739</v>
      </c>
      <c r="K22" s="92"/>
    </row>
    <row r="23" spans="1:11">
      <c r="A23" s="91">
        <v>22</v>
      </c>
      <c r="B23" s="91" t="str">
        <f t="shared" si="0"/>
        <v>Phường Ninh Dương, Thành phố Móng Cái, Tỉnh Quảng Ninh</v>
      </c>
      <c r="C23" s="91" t="s">
        <v>246</v>
      </c>
      <c r="D23" s="92" t="s">
        <v>828</v>
      </c>
      <c r="E23" s="92" t="s">
        <v>1740</v>
      </c>
      <c r="F23" s="92" t="s">
        <v>1739</v>
      </c>
      <c r="G23" s="92" t="str">
        <f t="shared" si="1"/>
        <v>Phường Móng Cái 2, Tỉnh Quảng Ninh</v>
      </c>
      <c r="H23" s="91" t="s">
        <v>244</v>
      </c>
      <c r="I23" s="92" t="s">
        <v>1741</v>
      </c>
      <c r="J23" s="92" t="s">
        <v>1739</v>
      </c>
      <c r="K23" s="92"/>
    </row>
    <row r="24" spans="1:11">
      <c r="A24" s="91">
        <v>23</v>
      </c>
      <c r="B24" s="91" t="str">
        <f t="shared" si="0"/>
        <v>Xã Vạn Ninh, Thành phố Móng Cái, Tỉnh Quảng Ninh</v>
      </c>
      <c r="C24" s="91" t="s">
        <v>256</v>
      </c>
      <c r="D24" s="92" t="s">
        <v>836</v>
      </c>
      <c r="E24" s="92" t="s">
        <v>1740</v>
      </c>
      <c r="F24" s="92" t="s">
        <v>1739</v>
      </c>
      <c r="G24" s="92" t="str">
        <f t="shared" si="1"/>
        <v>Phường Móng Cái 2, Tỉnh Quảng Ninh</v>
      </c>
      <c r="H24" s="91" t="s">
        <v>244</v>
      </c>
      <c r="I24" s="92" t="s">
        <v>1741</v>
      </c>
      <c r="J24" s="92" t="s">
        <v>1739</v>
      </c>
      <c r="K24" s="92"/>
    </row>
    <row r="25" spans="1:11">
      <c r="A25" s="91">
        <v>24</v>
      </c>
      <c r="B25" s="91" t="str">
        <f t="shared" si="0"/>
        <v>Phường Trần Phú, Thành phố Móng Cái, Tỉnh Quảng Ninh</v>
      </c>
      <c r="C25" s="91" t="s">
        <v>245</v>
      </c>
      <c r="D25" s="92" t="s">
        <v>778</v>
      </c>
      <c r="E25" s="92" t="s">
        <v>1740</v>
      </c>
      <c r="F25" s="92" t="s">
        <v>1739</v>
      </c>
      <c r="G25" s="92" t="str">
        <f t="shared" si="1"/>
        <v>Phường Móng Cái 1, Tỉnh Quảng Ninh</v>
      </c>
      <c r="H25" s="91" t="s">
        <v>245</v>
      </c>
      <c r="I25" s="92" t="s">
        <v>1742</v>
      </c>
      <c r="J25" s="92" t="s">
        <v>1739</v>
      </c>
      <c r="K25" s="92"/>
    </row>
    <row r="26" spans="1:11">
      <c r="A26" s="91">
        <v>25</v>
      </c>
      <c r="B26" s="91" t="str">
        <f t="shared" si="0"/>
        <v>Phường Trà Cổ, Thành phố Móng Cái, Tỉnh Quảng Ninh</v>
      </c>
      <c r="C26" s="91" t="s">
        <v>247</v>
      </c>
      <c r="D26" s="92" t="s">
        <v>829</v>
      </c>
      <c r="E26" s="92" t="s">
        <v>1740</v>
      </c>
      <c r="F26" s="92" t="s">
        <v>1739</v>
      </c>
      <c r="G26" s="92" t="str">
        <f t="shared" si="1"/>
        <v>Phường Móng Cái 1, Tỉnh Quảng Ninh</v>
      </c>
      <c r="H26" s="91" t="s">
        <v>245</v>
      </c>
      <c r="I26" s="92" t="s">
        <v>1742</v>
      </c>
      <c r="J26" s="92" t="s">
        <v>1739</v>
      </c>
      <c r="K26" s="92"/>
    </row>
    <row r="27" spans="1:11">
      <c r="A27" s="91">
        <v>26</v>
      </c>
      <c r="B27" s="91" t="str">
        <f t="shared" si="0"/>
        <v>Phường Hải Hòa, Thành phố Móng Cái, Tỉnh Quảng Ninh</v>
      </c>
      <c r="C27" s="91" t="s">
        <v>254</v>
      </c>
      <c r="D27" s="92" t="s">
        <v>943</v>
      </c>
      <c r="E27" s="92" t="s">
        <v>1740</v>
      </c>
      <c r="F27" s="92" t="s">
        <v>1739</v>
      </c>
      <c r="G27" s="92" t="str">
        <f t="shared" si="1"/>
        <v>Phường Móng Cái 1, Tỉnh Quảng Ninh</v>
      </c>
      <c r="H27" s="91" t="s">
        <v>245</v>
      </c>
      <c r="I27" s="92" t="s">
        <v>1742</v>
      </c>
      <c r="J27" s="92" t="s">
        <v>1739</v>
      </c>
      <c r="K27" s="92"/>
    </row>
    <row r="28" spans="1:11">
      <c r="A28" s="91">
        <v>27</v>
      </c>
      <c r="B28" s="91" t="str">
        <f t="shared" si="0"/>
        <v>Xã Hải Xuân, Thành phố Móng Cái, Tỉnh Quảng Ninh</v>
      </c>
      <c r="C28" s="91" t="s">
        <v>255</v>
      </c>
      <c r="D28" s="92" t="s">
        <v>835</v>
      </c>
      <c r="E28" s="92" t="s">
        <v>1740</v>
      </c>
      <c r="F28" s="92" t="s">
        <v>1739</v>
      </c>
      <c r="G28" s="92" t="str">
        <f t="shared" si="1"/>
        <v>Phường Móng Cái 1, Tỉnh Quảng Ninh</v>
      </c>
      <c r="H28" s="91" t="s">
        <v>245</v>
      </c>
      <c r="I28" s="92" t="s">
        <v>1742</v>
      </c>
      <c r="J28" s="92" t="s">
        <v>1739</v>
      </c>
      <c r="K28" s="92"/>
    </row>
    <row r="29" spans="1:11">
      <c r="A29" s="91">
        <v>28</v>
      </c>
      <c r="B29" s="91" t="str">
        <f t="shared" si="0"/>
        <v>Phường Bình Ngọc, Thành phố Móng Cái, Tỉnh Quảng Ninh</v>
      </c>
      <c r="C29" s="91" t="s">
        <v>257</v>
      </c>
      <c r="D29" s="92" t="s">
        <v>837</v>
      </c>
      <c r="E29" s="92" t="s">
        <v>1740</v>
      </c>
      <c r="F29" s="92" t="s">
        <v>1739</v>
      </c>
      <c r="G29" s="92" t="str">
        <f t="shared" si="1"/>
        <v>Phường Móng Cái 1, Tỉnh Quảng Ninh</v>
      </c>
      <c r="H29" s="91" t="s">
        <v>245</v>
      </c>
      <c r="I29" s="92" t="s">
        <v>1742</v>
      </c>
      <c r="J29" s="92" t="s">
        <v>1739</v>
      </c>
      <c r="K29" s="92"/>
    </row>
    <row r="30" spans="1:11">
      <c r="A30" s="91">
        <v>29</v>
      </c>
      <c r="B30" s="91" t="str">
        <f t="shared" si="0"/>
        <v>Xã Hải Đông, Thành phố Móng Cái, Tỉnh Quảng Ninh</v>
      </c>
      <c r="C30" s="91" t="s">
        <v>250</v>
      </c>
      <c r="D30" s="92" t="s">
        <v>831</v>
      </c>
      <c r="E30" s="92" t="s">
        <v>1740</v>
      </c>
      <c r="F30" s="92" t="s">
        <v>1739</v>
      </c>
      <c r="G30" s="92" t="str">
        <f t="shared" si="1"/>
        <v>Phường Móng Cái 3, Tỉnh Quảng Ninh</v>
      </c>
      <c r="H30" s="91" t="s">
        <v>252</v>
      </c>
      <c r="I30" s="92" t="s">
        <v>1743</v>
      </c>
      <c r="J30" s="92" t="s">
        <v>1739</v>
      </c>
      <c r="K30" s="92"/>
    </row>
    <row r="31" spans="1:11">
      <c r="A31" s="91">
        <v>30</v>
      </c>
      <c r="B31" s="91" t="str">
        <f t="shared" si="0"/>
        <v>Phường Hải Yên, Thành phố Móng Cái, Tỉnh Quảng Ninh</v>
      </c>
      <c r="C31" s="91" t="s">
        <v>252</v>
      </c>
      <c r="D31" s="92" t="s">
        <v>833</v>
      </c>
      <c r="E31" s="92" t="s">
        <v>1740</v>
      </c>
      <c r="F31" s="92" t="s">
        <v>1739</v>
      </c>
      <c r="G31" s="92" t="str">
        <f t="shared" si="1"/>
        <v>Phường Móng Cái 3, Tỉnh Quảng Ninh</v>
      </c>
      <c r="H31" s="91" t="s">
        <v>252</v>
      </c>
      <c r="I31" s="92" t="s">
        <v>1743</v>
      </c>
      <c r="J31" s="92" t="s">
        <v>1739</v>
      </c>
      <c r="K31" s="92"/>
    </row>
    <row r="32" spans="1:11">
      <c r="A32" s="91">
        <v>31</v>
      </c>
      <c r="B32" s="91" t="str">
        <f t="shared" si="0"/>
        <v>Phường Mông Dương, Thành phố Cẩm Phả, Tỉnh Quảng Ninh</v>
      </c>
      <c r="C32" s="91" t="s">
        <v>260</v>
      </c>
      <c r="D32" s="92" t="s">
        <v>840</v>
      </c>
      <c r="E32" s="92" t="s">
        <v>1744</v>
      </c>
      <c r="F32" s="92" t="s">
        <v>1739</v>
      </c>
      <c r="G32" s="92" t="str">
        <f t="shared" si="1"/>
        <v>Phường Mông Dương, Tỉnh Quảng Ninh</v>
      </c>
      <c r="H32" s="91" t="s">
        <v>260</v>
      </c>
      <c r="I32" s="92" t="s">
        <v>840</v>
      </c>
      <c r="J32" s="92" t="s">
        <v>1739</v>
      </c>
      <c r="K32" s="92"/>
    </row>
    <row r="33" spans="1:11">
      <c r="A33" s="91">
        <v>32</v>
      </c>
      <c r="B33" s="91" t="str">
        <f t="shared" si="0"/>
        <v>Xã Dương Huy, Thành phố Cẩm Phả, Tỉnh Quảng Ninh</v>
      </c>
      <c r="C33" s="91" t="s">
        <v>274</v>
      </c>
      <c r="D33" s="92" t="s">
        <v>853</v>
      </c>
      <c r="E33" s="92" t="s">
        <v>1744</v>
      </c>
      <c r="F33" s="92" t="s">
        <v>1739</v>
      </c>
      <c r="G33" s="92" t="str">
        <f t="shared" si="1"/>
        <v>Phường Mông Dương, Tỉnh Quảng Ninh</v>
      </c>
      <c r="H33" s="91" t="s">
        <v>260</v>
      </c>
      <c r="I33" s="92" t="s">
        <v>840</v>
      </c>
      <c r="J33" s="92" t="s">
        <v>1739</v>
      </c>
      <c r="K33" s="92"/>
    </row>
    <row r="34" spans="1:11">
      <c r="A34" s="91">
        <v>33</v>
      </c>
      <c r="B34" s="91" t="str">
        <f t="shared" si="0"/>
        <v>Phường Quang Hanh, Thành phố Cẩm Phả, Tỉnh Quảng Ninh</v>
      </c>
      <c r="C34" s="91" t="s">
        <v>266</v>
      </c>
      <c r="D34" s="92" t="s">
        <v>846</v>
      </c>
      <c r="E34" s="92" t="s">
        <v>1744</v>
      </c>
      <c r="F34" s="92" t="s">
        <v>1739</v>
      </c>
      <c r="G34" s="92" t="str">
        <f t="shared" si="1"/>
        <v>Phường Quang Hanh, Tỉnh Quảng Ninh</v>
      </c>
      <c r="H34" s="91" t="s">
        <v>266</v>
      </c>
      <c r="I34" s="92" t="s">
        <v>846</v>
      </c>
      <c r="J34" s="92" t="s">
        <v>1739</v>
      </c>
      <c r="K34" s="92"/>
    </row>
    <row r="35" spans="1:11">
      <c r="A35" s="91">
        <v>34</v>
      </c>
      <c r="B35" s="91" t="str">
        <f t="shared" si="0"/>
        <v>Phường Cẩm Thủy, Thành phố Cẩm Phả, Tỉnh Quảng Ninh</v>
      </c>
      <c r="C35" s="91" t="s">
        <v>268</v>
      </c>
      <c r="D35" s="92" t="s">
        <v>848</v>
      </c>
      <c r="E35" s="92" t="s">
        <v>1744</v>
      </c>
      <c r="F35" s="92" t="s">
        <v>1739</v>
      </c>
      <c r="G35" s="92" t="str">
        <f t="shared" si="1"/>
        <v>Phường Quang Hanh, Tỉnh Quảng Ninh</v>
      </c>
      <c r="H35" s="91" t="s">
        <v>266</v>
      </c>
      <c r="I35" s="92" t="s">
        <v>846</v>
      </c>
      <c r="J35" s="92" t="s">
        <v>1739</v>
      </c>
      <c r="K35" s="92"/>
    </row>
    <row r="36" spans="1:11">
      <c r="A36" s="91">
        <v>35</v>
      </c>
      <c r="B36" s="91" t="str">
        <f t="shared" si="0"/>
        <v>Phường Cẩm Thạch, Thành phố Cẩm Phả, Tỉnh Quảng Ninh</v>
      </c>
      <c r="C36" s="91" t="s">
        <v>269</v>
      </c>
      <c r="D36" s="92" t="s">
        <v>849</v>
      </c>
      <c r="E36" s="92" t="s">
        <v>1744</v>
      </c>
      <c r="F36" s="92" t="s">
        <v>1739</v>
      </c>
      <c r="G36" s="92" t="str">
        <f t="shared" si="1"/>
        <v>Phường Quang Hanh, Tỉnh Quảng Ninh</v>
      </c>
      <c r="H36" s="91" t="s">
        <v>266</v>
      </c>
      <c r="I36" s="92" t="s">
        <v>846</v>
      </c>
      <c r="J36" s="92" t="s">
        <v>1739</v>
      </c>
      <c r="K36" s="92"/>
    </row>
    <row r="37" spans="1:11">
      <c r="A37" s="91">
        <v>36</v>
      </c>
      <c r="B37" s="91" t="str">
        <f t="shared" si="0"/>
        <v>Phường Cửa Ông, Thành phố Cẩm Phả, Tỉnh Quảng Ninh</v>
      </c>
      <c r="C37" s="91" t="s">
        <v>261</v>
      </c>
      <c r="D37" s="92" t="s">
        <v>841</v>
      </c>
      <c r="E37" s="92" t="s">
        <v>1744</v>
      </c>
      <c r="F37" s="92" t="s">
        <v>1739</v>
      </c>
      <c r="G37" s="92" t="str">
        <f t="shared" si="1"/>
        <v>Phường Cửa Ông, Tỉnh Quảng Ninh</v>
      </c>
      <c r="H37" s="91" t="s">
        <v>267</v>
      </c>
      <c r="I37" s="92" t="s">
        <v>841</v>
      </c>
      <c r="J37" s="92" t="s">
        <v>1739</v>
      </c>
      <c r="K37" s="92"/>
    </row>
    <row r="38" spans="1:11">
      <c r="A38" s="91">
        <v>37</v>
      </c>
      <c r="B38" s="91" t="str">
        <f t="shared" si="0"/>
        <v>Phường Cẩm Sơn, Thành phố Cẩm Phả, Tỉnh Quảng Ninh</v>
      </c>
      <c r="C38" s="91" t="s">
        <v>262</v>
      </c>
      <c r="D38" s="92" t="s">
        <v>842</v>
      </c>
      <c r="E38" s="92" t="s">
        <v>1744</v>
      </c>
      <c r="F38" s="92" t="s">
        <v>1739</v>
      </c>
      <c r="G38" s="92" t="str">
        <f t="shared" si="1"/>
        <v>Phường Cửa Ông, Tỉnh Quảng Ninh</v>
      </c>
      <c r="H38" s="91" t="s">
        <v>267</v>
      </c>
      <c r="I38" s="92" t="s">
        <v>841</v>
      </c>
      <c r="J38" s="92" t="s">
        <v>1739</v>
      </c>
      <c r="K38" s="92"/>
    </row>
    <row r="39" spans="1:11">
      <c r="A39" s="91">
        <v>38</v>
      </c>
      <c r="B39" s="91" t="str">
        <f t="shared" si="0"/>
        <v>Phường Cẩm Phú, Thành phố Cẩm Phả, Tỉnh Quảng Ninh</v>
      </c>
      <c r="C39" s="91" t="s">
        <v>264</v>
      </c>
      <c r="D39" s="92" t="s">
        <v>844</v>
      </c>
      <c r="E39" s="92" t="s">
        <v>1744</v>
      </c>
      <c r="F39" s="92" t="s">
        <v>1739</v>
      </c>
      <c r="G39" s="92" t="str">
        <f t="shared" si="1"/>
        <v>Phường Cửa Ông, Tỉnh Quảng Ninh</v>
      </c>
      <c r="H39" s="91" t="s">
        <v>267</v>
      </c>
      <c r="I39" s="92" t="s">
        <v>841</v>
      </c>
      <c r="J39" s="92" t="s">
        <v>1739</v>
      </c>
      <c r="K39" s="92"/>
    </row>
    <row r="40" spans="1:11">
      <c r="A40" s="91">
        <v>39</v>
      </c>
      <c r="B40" s="91" t="str">
        <f t="shared" si="0"/>
        <v>Phường Cẩm Thịnh, Thành phố Cẩm Phả, Tỉnh Quảng Ninh</v>
      </c>
      <c r="C40" s="91" t="s">
        <v>267</v>
      </c>
      <c r="D40" s="92" t="s">
        <v>847</v>
      </c>
      <c r="E40" s="92" t="s">
        <v>1744</v>
      </c>
      <c r="F40" s="92" t="s">
        <v>1739</v>
      </c>
      <c r="G40" s="92" t="str">
        <f t="shared" si="1"/>
        <v>Phường Cửa Ông, Tỉnh Quảng Ninh</v>
      </c>
      <c r="H40" s="91" t="s">
        <v>267</v>
      </c>
      <c r="I40" s="92" t="s">
        <v>841</v>
      </c>
      <c r="J40" s="92" t="s">
        <v>1739</v>
      </c>
      <c r="K40" s="92"/>
    </row>
    <row r="41" spans="1:11">
      <c r="A41" s="91">
        <v>40</v>
      </c>
      <c r="B41" s="91" t="str">
        <f t="shared" si="0"/>
        <v>Phường Cẩm Đông, Thành phố Cẩm Phả, Tỉnh Quảng Ninh</v>
      </c>
      <c r="C41" s="91" t="s">
        <v>263</v>
      </c>
      <c r="D41" s="92" t="s">
        <v>843</v>
      </c>
      <c r="E41" s="92" t="s">
        <v>1744</v>
      </c>
      <c r="F41" s="92" t="s">
        <v>1739</v>
      </c>
      <c r="G41" s="92" t="str">
        <f t="shared" si="1"/>
        <v>Phường Cẩm Phả, Tỉnh Quảng Ninh</v>
      </c>
      <c r="H41" s="91" t="s">
        <v>271</v>
      </c>
      <c r="I41" s="92" t="s">
        <v>1745</v>
      </c>
      <c r="J41" s="92" t="s">
        <v>1739</v>
      </c>
      <c r="K41" s="92"/>
    </row>
    <row r="42" spans="1:11">
      <c r="A42" s="91">
        <v>41</v>
      </c>
      <c r="B42" s="91" t="str">
        <f t="shared" si="0"/>
        <v>Phường Cẩm Tây, Thành phố Cẩm Phả, Tỉnh Quảng Ninh</v>
      </c>
      <c r="C42" s="91" t="s">
        <v>265</v>
      </c>
      <c r="D42" s="92" t="s">
        <v>845</v>
      </c>
      <c r="E42" s="92" t="s">
        <v>1744</v>
      </c>
      <c r="F42" s="92" t="s">
        <v>1739</v>
      </c>
      <c r="G42" s="92" t="str">
        <f t="shared" si="1"/>
        <v>Phường Cẩm Phả, Tỉnh Quảng Ninh</v>
      </c>
      <c r="H42" s="91" t="s">
        <v>271</v>
      </c>
      <c r="I42" s="92" t="s">
        <v>1745</v>
      </c>
      <c r="J42" s="92" t="s">
        <v>1739</v>
      </c>
      <c r="K42" s="92"/>
    </row>
    <row r="43" spans="1:11">
      <c r="A43" s="91">
        <v>42</v>
      </c>
      <c r="B43" s="91" t="str">
        <f t="shared" si="0"/>
        <v>Phường Cẩm Thành, Thành phố Cẩm Phả, Tỉnh Quảng Ninh</v>
      </c>
      <c r="C43" s="91" t="s">
        <v>270</v>
      </c>
      <c r="D43" s="92" t="s">
        <v>850</v>
      </c>
      <c r="E43" s="92" t="s">
        <v>1744</v>
      </c>
      <c r="F43" s="92" t="s">
        <v>1739</v>
      </c>
      <c r="G43" s="92" t="str">
        <f t="shared" si="1"/>
        <v>Phường Cẩm Phả, Tỉnh Quảng Ninh</v>
      </c>
      <c r="H43" s="91" t="s">
        <v>271</v>
      </c>
      <c r="I43" s="92" t="s">
        <v>1745</v>
      </c>
      <c r="J43" s="92" t="s">
        <v>1739</v>
      </c>
      <c r="K43" s="92"/>
    </row>
    <row r="44" spans="1:11">
      <c r="A44" s="91">
        <v>43</v>
      </c>
      <c r="B44" s="91" t="str">
        <f t="shared" si="0"/>
        <v>Phường Cẩm Trung, Thành phố Cẩm Phả, Tỉnh Quảng Ninh</v>
      </c>
      <c r="C44" s="91" t="s">
        <v>271</v>
      </c>
      <c r="D44" s="92" t="s">
        <v>851</v>
      </c>
      <c r="E44" s="92" t="s">
        <v>1744</v>
      </c>
      <c r="F44" s="92" t="s">
        <v>1739</v>
      </c>
      <c r="G44" s="92" t="str">
        <f t="shared" si="1"/>
        <v>Phường Cẩm Phả, Tỉnh Quảng Ninh</v>
      </c>
      <c r="H44" s="91" t="s">
        <v>271</v>
      </c>
      <c r="I44" s="92" t="s">
        <v>1745</v>
      </c>
      <c r="J44" s="92" t="s">
        <v>1739</v>
      </c>
      <c r="K44" s="92"/>
    </row>
    <row r="45" spans="1:11">
      <c r="A45" s="91">
        <v>44</v>
      </c>
      <c r="B45" s="91" t="str">
        <f t="shared" si="0"/>
        <v>Phường Cẩm Bình, Thành phố Cẩm Phả, Tỉnh Quảng Ninh</v>
      </c>
      <c r="C45" s="91" t="s">
        <v>272</v>
      </c>
      <c r="D45" s="92" t="s">
        <v>852</v>
      </c>
      <c r="E45" s="92" t="s">
        <v>1744</v>
      </c>
      <c r="F45" s="92" t="s">
        <v>1739</v>
      </c>
      <c r="G45" s="92" t="str">
        <f t="shared" si="1"/>
        <v>Phường Cẩm Phả, Tỉnh Quảng Ninh</v>
      </c>
      <c r="H45" s="91" t="s">
        <v>271</v>
      </c>
      <c r="I45" s="92" t="s">
        <v>1745</v>
      </c>
      <c r="J45" s="92" t="s">
        <v>1739</v>
      </c>
      <c r="K45" s="92"/>
    </row>
    <row r="46" spans="1:11">
      <c r="A46" s="91">
        <v>45</v>
      </c>
      <c r="B46" s="91" t="str">
        <f t="shared" si="0"/>
        <v>Phường Thanh Sơn, Thành phố Uông Bí, Tỉnh Quảng Ninh</v>
      </c>
      <c r="C46" s="91" t="s">
        <v>276</v>
      </c>
      <c r="D46" s="92" t="s">
        <v>855</v>
      </c>
      <c r="E46" s="92" t="s">
        <v>1746</v>
      </c>
      <c r="F46" s="92" t="s">
        <v>1739</v>
      </c>
      <c r="G46" s="92" t="str">
        <f t="shared" si="1"/>
        <v>Phường Uông Bí, Tỉnh Quảng Ninh</v>
      </c>
      <c r="H46" s="91" t="s">
        <v>276</v>
      </c>
      <c r="I46" s="92" t="s">
        <v>1747</v>
      </c>
      <c r="J46" s="92" t="s">
        <v>1739</v>
      </c>
      <c r="K46" s="92"/>
    </row>
    <row r="47" spans="1:11">
      <c r="A47" s="91">
        <v>46</v>
      </c>
      <c r="B47" s="91" t="str">
        <f t="shared" si="0"/>
        <v>Phường Quang Trung, Thành phố Uông Bí, Tỉnh Quảng Ninh</v>
      </c>
      <c r="C47" s="91" t="s">
        <v>278</v>
      </c>
      <c r="D47" s="92" t="s">
        <v>776</v>
      </c>
      <c r="E47" s="92" t="s">
        <v>1746</v>
      </c>
      <c r="F47" s="92" t="s">
        <v>1739</v>
      </c>
      <c r="G47" s="92" t="str">
        <f t="shared" si="1"/>
        <v>Phường Uông Bí, Tỉnh Quảng Ninh</v>
      </c>
      <c r="H47" s="91" t="s">
        <v>276</v>
      </c>
      <c r="I47" s="92" t="s">
        <v>1747</v>
      </c>
      <c r="J47" s="92" t="s">
        <v>1739</v>
      </c>
      <c r="K47" s="92"/>
    </row>
    <row r="48" spans="1:11">
      <c r="A48" s="91">
        <v>47</v>
      </c>
      <c r="B48" s="91" t="str">
        <f t="shared" si="0"/>
        <v>Phường Trưng Vương, Thành phố Uông Bí, Tỉnh Quảng Ninh</v>
      </c>
      <c r="C48" s="91" t="s">
        <v>279</v>
      </c>
      <c r="D48" s="92" t="s">
        <v>802</v>
      </c>
      <c r="E48" s="92" t="s">
        <v>1746</v>
      </c>
      <c r="F48" s="92" t="s">
        <v>1739</v>
      </c>
      <c r="G48" s="92" t="str">
        <f t="shared" si="1"/>
        <v>Phường Uông Bí, Tỉnh Quảng Ninh</v>
      </c>
      <c r="H48" s="91" t="s">
        <v>276</v>
      </c>
      <c r="I48" s="92" t="s">
        <v>1747</v>
      </c>
      <c r="J48" s="92" t="s">
        <v>1739</v>
      </c>
      <c r="K48" s="92"/>
    </row>
    <row r="49" spans="1:11">
      <c r="A49" s="91">
        <v>48</v>
      </c>
      <c r="B49" s="91" t="str">
        <f t="shared" si="0"/>
        <v>Phường Yên Thanh, Thành phố Uông Bí, Tỉnh Quảng Ninh</v>
      </c>
      <c r="C49" s="91" t="s">
        <v>281</v>
      </c>
      <c r="D49" s="92" t="s">
        <v>857</v>
      </c>
      <c r="E49" s="92" t="s">
        <v>1746</v>
      </c>
      <c r="F49" s="92" t="s">
        <v>1739</v>
      </c>
      <c r="G49" s="92" t="str">
        <f t="shared" si="1"/>
        <v>Phường Uông Bí, Tỉnh Quảng Ninh</v>
      </c>
      <c r="H49" s="91" t="s">
        <v>276</v>
      </c>
      <c r="I49" s="92" t="s">
        <v>1747</v>
      </c>
      <c r="J49" s="92" t="s">
        <v>1739</v>
      </c>
      <c r="K49" s="92"/>
    </row>
    <row r="50" spans="1:11">
      <c r="A50" s="91">
        <v>49</v>
      </c>
      <c r="B50" s="91" t="str">
        <f t="shared" si="0"/>
        <v>Phường Vàng Danh, Thành phố Uông Bí, Tỉnh Quảng Ninh</v>
      </c>
      <c r="C50" s="91" t="s">
        <v>275</v>
      </c>
      <c r="D50" s="92" t="s">
        <v>854</v>
      </c>
      <c r="E50" s="92" t="s">
        <v>1746</v>
      </c>
      <c r="F50" s="92" t="s">
        <v>1739</v>
      </c>
      <c r="G50" s="92" t="str">
        <f t="shared" si="1"/>
        <v>Phường Vàng Danh, Tỉnh Quảng Ninh</v>
      </c>
      <c r="H50" s="91" t="s">
        <v>279</v>
      </c>
      <c r="I50" s="92" t="s">
        <v>854</v>
      </c>
      <c r="J50" s="92" t="s">
        <v>1739</v>
      </c>
      <c r="K50" s="92"/>
    </row>
    <row r="51" spans="1:11">
      <c r="A51" s="91">
        <v>50</v>
      </c>
      <c r="B51" s="91" t="str">
        <f t="shared" si="0"/>
        <v>Phường Bắc Sơn, Thành phố Uông Bí, Tỉnh Quảng Ninh</v>
      </c>
      <c r="C51" s="91" t="s">
        <v>277</v>
      </c>
      <c r="D51" s="92" t="s">
        <v>803</v>
      </c>
      <c r="E51" s="92" t="s">
        <v>1746</v>
      </c>
      <c r="F51" s="92" t="s">
        <v>1739</v>
      </c>
      <c r="G51" s="92" t="str">
        <f t="shared" si="1"/>
        <v>Phường Vàng Danh, Tỉnh Quảng Ninh</v>
      </c>
      <c r="H51" s="91" t="s">
        <v>279</v>
      </c>
      <c r="I51" s="92" t="s">
        <v>854</v>
      </c>
      <c r="J51" s="92" t="s">
        <v>1739</v>
      </c>
      <c r="K51" s="92"/>
    </row>
    <row r="52" spans="1:11">
      <c r="A52" s="91">
        <v>51</v>
      </c>
      <c r="B52" s="91" t="str">
        <f t="shared" si="0"/>
        <v>Phường Trưng Vương, Thành phố Uông Bí, Tỉnh Quảng Ninh</v>
      </c>
      <c r="C52" s="91" t="s">
        <v>279</v>
      </c>
      <c r="D52" s="92" t="s">
        <v>802</v>
      </c>
      <c r="E52" s="92" t="s">
        <v>1746</v>
      </c>
      <c r="F52" s="92" t="s">
        <v>1739</v>
      </c>
      <c r="G52" s="92" t="str">
        <f t="shared" si="1"/>
        <v>Phường Vàng Danh, Tỉnh Quảng Ninh</v>
      </c>
      <c r="H52" s="91" t="s">
        <v>279</v>
      </c>
      <c r="I52" s="92" t="s">
        <v>854</v>
      </c>
      <c r="J52" s="92" t="s">
        <v>1739</v>
      </c>
      <c r="K52" s="92"/>
    </row>
    <row r="53" spans="1:11">
      <c r="A53" s="91">
        <v>52</v>
      </c>
      <c r="B53" s="91" t="str">
        <f t="shared" si="0"/>
        <v>Phường Nam Khê, Thành phố Uông Bí, Tỉnh Quảng Ninh</v>
      </c>
      <c r="C53" s="91" t="s">
        <v>280</v>
      </c>
      <c r="D53" s="92" t="s">
        <v>856</v>
      </c>
      <c r="E53" s="92" t="s">
        <v>1746</v>
      </c>
      <c r="F53" s="92" t="s">
        <v>1739</v>
      </c>
      <c r="G53" s="92" t="str">
        <f t="shared" si="1"/>
        <v>Phường Vàng Danh, Tỉnh Quảng Ninh</v>
      </c>
      <c r="H53" s="91" t="s">
        <v>279</v>
      </c>
      <c r="I53" s="92" t="s">
        <v>854</v>
      </c>
      <c r="J53" s="92" t="s">
        <v>1739</v>
      </c>
      <c r="K53" s="92"/>
    </row>
    <row r="54" spans="1:11">
      <c r="A54" s="91">
        <v>53</v>
      </c>
      <c r="B54" s="91" t="str">
        <f t="shared" si="0"/>
        <v>Xã Thượng Yên Công, Thành phố Uông Bí, Tỉnh Quảng Ninh</v>
      </c>
      <c r="C54" s="91" t="s">
        <v>282</v>
      </c>
      <c r="D54" s="92" t="s">
        <v>858</v>
      </c>
      <c r="E54" s="92" t="s">
        <v>1746</v>
      </c>
      <c r="F54" s="92" t="s">
        <v>1739</v>
      </c>
      <c r="G54" s="92" t="str">
        <f t="shared" si="1"/>
        <v>Phường Yên Tử, Tỉnh Quảng Ninh</v>
      </c>
      <c r="H54" s="91" t="s">
        <v>283</v>
      </c>
      <c r="I54" s="92" t="s">
        <v>1748</v>
      </c>
      <c r="J54" s="92" t="s">
        <v>1739</v>
      </c>
      <c r="K54" s="92"/>
    </row>
    <row r="55" spans="1:11">
      <c r="A55" s="91">
        <v>54</v>
      </c>
      <c r="B55" s="91" t="str">
        <f t="shared" si="0"/>
        <v>Phường Phương Đông, Thành phố Uông Bí, Tỉnh Quảng Ninh</v>
      </c>
      <c r="C55" s="91" t="s">
        <v>283</v>
      </c>
      <c r="D55" s="92" t="s">
        <v>859</v>
      </c>
      <c r="E55" s="92" t="s">
        <v>1746</v>
      </c>
      <c r="F55" s="92" t="s">
        <v>1739</v>
      </c>
      <c r="G55" s="92" t="str">
        <f t="shared" si="1"/>
        <v>Phường Yên Tử, Tỉnh Quảng Ninh</v>
      </c>
      <c r="H55" s="91" t="s">
        <v>283</v>
      </c>
      <c r="I55" s="92" t="s">
        <v>1748</v>
      </c>
      <c r="J55" s="92" t="s">
        <v>1739</v>
      </c>
      <c r="K55" s="92"/>
    </row>
    <row r="56" spans="1:11">
      <c r="A56" s="91">
        <v>55</v>
      </c>
      <c r="B56" s="91" t="str">
        <f t="shared" si="0"/>
        <v>Phường Phương Nam, Thành phố Uông Bí, Tỉnh Quảng Ninh</v>
      </c>
      <c r="C56" s="91" t="s">
        <v>284</v>
      </c>
      <c r="D56" s="92" t="s">
        <v>860</v>
      </c>
      <c r="E56" s="92" t="s">
        <v>1746</v>
      </c>
      <c r="F56" s="92" t="s">
        <v>1739</v>
      </c>
      <c r="G56" s="92" t="str">
        <f t="shared" si="1"/>
        <v>Phường Yên Tử, Tỉnh Quảng Ninh</v>
      </c>
      <c r="H56" s="91" t="s">
        <v>283</v>
      </c>
      <c r="I56" s="92" t="s">
        <v>1748</v>
      </c>
      <c r="J56" s="92" t="s">
        <v>1739</v>
      </c>
      <c r="K56" s="92"/>
    </row>
    <row r="57" spans="1:11">
      <c r="A57" s="91">
        <v>56</v>
      </c>
      <c r="B57" s="91" t="str">
        <f t="shared" si="0"/>
        <v>Phường Hoành Bồ, Thành phố Hạ Long, Tỉnh Quảng Ninh</v>
      </c>
      <c r="C57" s="91" t="s">
        <v>231</v>
      </c>
      <c r="D57" s="92" t="s">
        <v>819</v>
      </c>
      <c r="E57" s="92" t="s">
        <v>1738</v>
      </c>
      <c r="F57" s="92" t="s">
        <v>1739</v>
      </c>
      <c r="G57" s="92" t="str">
        <f t="shared" si="1"/>
        <v>Phường Hoành Bồ, Tỉnh Quảng Ninh</v>
      </c>
      <c r="H57" s="91" t="s">
        <v>231</v>
      </c>
      <c r="I57" s="92" t="s">
        <v>819</v>
      </c>
      <c r="J57" s="92" t="s">
        <v>1739</v>
      </c>
      <c r="K57" s="92"/>
    </row>
    <row r="58" spans="1:11">
      <c r="A58" s="91">
        <v>57</v>
      </c>
      <c r="B58" s="91" t="str">
        <f t="shared" si="0"/>
        <v>Xã Đồng Lâm, Thành phố Hạ Long, Tỉnh Quảng Ninh</v>
      </c>
      <c r="C58" s="91" t="s">
        <v>235</v>
      </c>
      <c r="D58" s="92" t="s">
        <v>822</v>
      </c>
      <c r="E58" s="92" t="s">
        <v>1738</v>
      </c>
      <c r="F58" s="92" t="s">
        <v>1739</v>
      </c>
      <c r="G58" s="92" t="str">
        <f t="shared" si="1"/>
        <v>Phường Hoành Bồ, Tỉnh Quảng Ninh</v>
      </c>
      <c r="H58" s="91" t="s">
        <v>231</v>
      </c>
      <c r="I58" s="92" t="s">
        <v>819</v>
      </c>
      <c r="J58" s="92" t="s">
        <v>1739</v>
      </c>
      <c r="K58" s="92"/>
    </row>
    <row r="59" spans="1:11">
      <c r="A59" s="91">
        <v>58</v>
      </c>
      <c r="B59" s="91" t="str">
        <f t="shared" si="0"/>
        <v>Xã Sơn Dương, Thành phố Hạ Long, Tỉnh Quảng Ninh</v>
      </c>
      <c r="C59" s="91" t="s">
        <v>242</v>
      </c>
      <c r="D59" s="92" t="s">
        <v>826</v>
      </c>
      <c r="E59" s="92" t="s">
        <v>1738</v>
      </c>
      <c r="F59" s="92" t="s">
        <v>1739</v>
      </c>
      <c r="G59" s="92" t="str">
        <f t="shared" si="1"/>
        <v>Phường Hoành Bồ, Tỉnh Quảng Ninh</v>
      </c>
      <c r="H59" s="91" t="s">
        <v>231</v>
      </c>
      <c r="I59" s="92" t="s">
        <v>819</v>
      </c>
      <c r="J59" s="92" t="s">
        <v>1739</v>
      </c>
      <c r="K59" s="92"/>
    </row>
    <row r="60" spans="1:11">
      <c r="A60" s="91">
        <v>59</v>
      </c>
      <c r="B60" s="91" t="str">
        <f t="shared" si="0"/>
        <v>Xã Lê Lợi, Thành phố Hạ Long, Tỉnh Quảng Ninh</v>
      </c>
      <c r="C60" s="91" t="s">
        <v>243</v>
      </c>
      <c r="D60" s="92" t="s">
        <v>788</v>
      </c>
      <c r="E60" s="92" t="s">
        <v>1738</v>
      </c>
      <c r="F60" s="92" t="s">
        <v>1739</v>
      </c>
      <c r="G60" s="92" t="str">
        <f t="shared" si="1"/>
        <v>Phường Hoành Bồ, Tỉnh Quảng Ninh</v>
      </c>
      <c r="H60" s="91" t="s">
        <v>231</v>
      </c>
      <c r="I60" s="92" t="s">
        <v>819</v>
      </c>
      <c r="J60" s="92" t="s">
        <v>1739</v>
      </c>
      <c r="K60" s="92"/>
    </row>
    <row r="61" spans="1:11">
      <c r="A61" s="91">
        <v>60</v>
      </c>
      <c r="B61" s="91" t="str">
        <f t="shared" si="0"/>
        <v>Phường Mạo Khê, Thành phố Đông Triều, Tỉnh Quảng Ninh</v>
      </c>
      <c r="C61" s="91" t="s">
        <v>342</v>
      </c>
      <c r="D61" s="92" t="s">
        <v>906</v>
      </c>
      <c r="E61" s="92" t="s">
        <v>1749</v>
      </c>
      <c r="F61" s="92" t="s">
        <v>1739</v>
      </c>
      <c r="G61" s="92" t="str">
        <f t="shared" si="1"/>
        <v>Phường Mạo Khê, Tỉnh Quảng Ninh</v>
      </c>
      <c r="H61" s="91" t="s">
        <v>342</v>
      </c>
      <c r="I61" s="92" t="s">
        <v>906</v>
      </c>
      <c r="J61" s="92" t="s">
        <v>1739</v>
      </c>
      <c r="K61" s="92"/>
    </row>
    <row r="62" spans="1:11">
      <c r="A62" s="91">
        <v>61</v>
      </c>
      <c r="B62" s="91" t="str">
        <f t="shared" si="0"/>
        <v>Phường Xuân Sơn, Thành phố Đông Triều, Tỉnh Quảng Ninh</v>
      </c>
      <c r="C62" s="91" t="s">
        <v>352</v>
      </c>
      <c r="D62" s="92" t="s">
        <v>913</v>
      </c>
      <c r="E62" s="92" t="s">
        <v>1749</v>
      </c>
      <c r="F62" s="92" t="s">
        <v>1739</v>
      </c>
      <c r="G62" s="92" t="str">
        <f t="shared" si="1"/>
        <v>Phường Mạo Khê, Tỉnh Quảng Ninh</v>
      </c>
      <c r="H62" s="91" t="s">
        <v>342</v>
      </c>
      <c r="I62" s="92" t="s">
        <v>906</v>
      </c>
      <c r="J62" s="92" t="s">
        <v>1739</v>
      </c>
      <c r="K62" s="92"/>
    </row>
    <row r="63" spans="1:11">
      <c r="A63" s="91">
        <v>62</v>
      </c>
      <c r="B63" s="91" t="str">
        <f t="shared" si="0"/>
        <v>Phường Yên Thọ, Thành phố Đông Triều, Tỉnh Quảng Ninh</v>
      </c>
      <c r="C63" s="91" t="s">
        <v>356</v>
      </c>
      <c r="D63" s="92" t="s">
        <v>917</v>
      </c>
      <c r="E63" s="92" t="s">
        <v>1749</v>
      </c>
      <c r="F63" s="92" t="s">
        <v>1739</v>
      </c>
      <c r="G63" s="92" t="str">
        <f t="shared" si="1"/>
        <v>Phường Mạo Khê, Tỉnh Quảng Ninh</v>
      </c>
      <c r="H63" s="91" t="s">
        <v>342</v>
      </c>
      <c r="I63" s="92" t="s">
        <v>906</v>
      </c>
      <c r="J63" s="92" t="s">
        <v>1739</v>
      </c>
      <c r="K63" s="92"/>
    </row>
    <row r="64" spans="1:11">
      <c r="A64" s="91">
        <v>63</v>
      </c>
      <c r="B64" s="91" t="str">
        <f t="shared" si="0"/>
        <v>Phường Kim Sơn, Thành phố Đông Triều, Tỉnh Quảng Ninh</v>
      </c>
      <c r="C64" s="91" t="s">
        <v>358</v>
      </c>
      <c r="D64" s="92" t="s">
        <v>919</v>
      </c>
      <c r="E64" s="92" t="s">
        <v>1749</v>
      </c>
      <c r="F64" s="92" t="s">
        <v>1739</v>
      </c>
      <c r="G64" s="92" t="str">
        <f t="shared" si="1"/>
        <v>Phường Mạo Khê, Tỉnh Quảng Ninh</v>
      </c>
      <c r="H64" s="91" t="s">
        <v>342</v>
      </c>
      <c r="I64" s="92" t="s">
        <v>906</v>
      </c>
      <c r="J64" s="92" t="s">
        <v>1739</v>
      </c>
      <c r="K64" s="92"/>
    </row>
    <row r="65" spans="1:11">
      <c r="A65" s="91">
        <v>64</v>
      </c>
      <c r="B65" s="91" t="str">
        <f t="shared" si="0"/>
        <v>Xã Tràng Lương, Thành phố Đông Triều, Tỉnh Quảng Ninh</v>
      </c>
      <c r="C65" s="91" t="s">
        <v>344</v>
      </c>
      <c r="D65" s="92" t="s">
        <v>909</v>
      </c>
      <c r="E65" s="92" t="s">
        <v>1749</v>
      </c>
      <c r="F65" s="92" t="s">
        <v>1739</v>
      </c>
      <c r="G65" s="92" t="str">
        <f t="shared" si="1"/>
        <v>Phường Bình Khê, Tỉnh Quảng Ninh</v>
      </c>
      <c r="H65" s="91" t="s">
        <v>345</v>
      </c>
      <c r="I65" s="92" t="s">
        <v>1750</v>
      </c>
      <c r="J65" s="92" t="s">
        <v>1739</v>
      </c>
      <c r="K65" s="92"/>
    </row>
    <row r="66" spans="1:11">
      <c r="A66" s="91">
        <v>65</v>
      </c>
      <c r="B66" s="91" t="str">
        <f t="shared" si="0"/>
        <v>Phường Bình Khê, Thành phố Đông Triều, Tỉnh Quảng Ninh</v>
      </c>
      <c r="C66" s="91" t="s">
        <v>345</v>
      </c>
      <c r="D66" s="92" t="s">
        <v>1750</v>
      </c>
      <c r="E66" s="92" t="s">
        <v>1749</v>
      </c>
      <c r="F66" s="92" t="s">
        <v>1739</v>
      </c>
      <c r="G66" s="92" t="str">
        <f t="shared" si="1"/>
        <v>Phường Bình Khê, Tỉnh Quảng Ninh</v>
      </c>
      <c r="H66" s="91" t="s">
        <v>345</v>
      </c>
      <c r="I66" s="92" t="s">
        <v>1750</v>
      </c>
      <c r="J66" s="92" t="s">
        <v>1739</v>
      </c>
      <c r="K66" s="92"/>
    </row>
    <row r="67" spans="1:11">
      <c r="A67" s="91">
        <v>66</v>
      </c>
      <c r="B67" s="91" t="str">
        <f t="shared" ref="B67:B130" si="2">D67&amp;", "&amp;E67&amp;", "&amp;F67</f>
        <v>Phường Tràng An, Thành phố Đông Triều, Tỉnh Quảng Ninh</v>
      </c>
      <c r="C67" s="91" t="s">
        <v>349</v>
      </c>
      <c r="D67" s="92" t="s">
        <v>912</v>
      </c>
      <c r="E67" s="92" t="s">
        <v>1749</v>
      </c>
      <c r="F67" s="92" t="s">
        <v>1739</v>
      </c>
      <c r="G67" s="92" t="str">
        <f t="shared" ref="G67:G130" si="3">I67&amp;", "&amp;J67</f>
        <v>Phường Bình Khê, Tỉnh Quảng Ninh</v>
      </c>
      <c r="H67" s="91" t="s">
        <v>345</v>
      </c>
      <c r="I67" s="92" t="s">
        <v>1750</v>
      </c>
      <c r="J67" s="92" t="s">
        <v>1739</v>
      </c>
      <c r="K67" s="92"/>
    </row>
    <row r="68" spans="1:11">
      <c r="A68" s="91">
        <v>67</v>
      </c>
      <c r="B68" s="91" t="str">
        <f t="shared" si="2"/>
        <v>Xã An Sinh, Thành phố Đông Triều, Tỉnh Quảng Ninh</v>
      </c>
      <c r="C68" s="91" t="s">
        <v>343</v>
      </c>
      <c r="D68" s="92" t="s">
        <v>908</v>
      </c>
      <c r="E68" s="92" t="s">
        <v>1749</v>
      </c>
      <c r="F68" s="92" t="s">
        <v>1739</v>
      </c>
      <c r="G68" s="92" t="str">
        <f t="shared" si="3"/>
        <v>Phường An Sinh, Tỉnh Quảng Ninh</v>
      </c>
      <c r="H68" s="91" t="s">
        <v>347</v>
      </c>
      <c r="I68" s="92" t="s">
        <v>939</v>
      </c>
      <c r="J68" s="92" t="s">
        <v>1739</v>
      </c>
      <c r="K68" s="92"/>
    </row>
    <row r="69" spans="1:11">
      <c r="A69" s="91">
        <v>68</v>
      </c>
      <c r="B69" s="91" t="str">
        <f t="shared" si="2"/>
        <v>Xã Việt Dân, Thành phố Đông Triều, Tỉnh Quảng Ninh</v>
      </c>
      <c r="C69" s="91" t="s">
        <v>346</v>
      </c>
      <c r="D69" s="92" t="s">
        <v>910</v>
      </c>
      <c r="E69" s="92" t="s">
        <v>1749</v>
      </c>
      <c r="F69" s="92" t="s">
        <v>1739</v>
      </c>
      <c r="G69" s="92" t="str">
        <f t="shared" si="3"/>
        <v>Phường An Sinh, Tỉnh Quảng Ninh</v>
      </c>
      <c r="H69" s="91" t="s">
        <v>347</v>
      </c>
      <c r="I69" s="92" t="s">
        <v>939</v>
      </c>
      <c r="J69" s="92" t="s">
        <v>1739</v>
      </c>
      <c r="K69" s="92"/>
    </row>
    <row r="70" spans="1:11">
      <c r="A70" s="91">
        <v>69</v>
      </c>
      <c r="B70" s="91" t="str">
        <f t="shared" si="2"/>
        <v>Phường Bình Dương, Thành phố Đông Triều, Tỉnh Quảng Ninh</v>
      </c>
      <c r="C70" s="91" t="s">
        <v>347</v>
      </c>
      <c r="D70" s="92" t="s">
        <v>1751</v>
      </c>
      <c r="E70" s="92" t="s">
        <v>1749</v>
      </c>
      <c r="F70" s="92" t="s">
        <v>1739</v>
      </c>
      <c r="G70" s="92" t="str">
        <f t="shared" si="3"/>
        <v>Phường An Sinh, Tỉnh Quảng Ninh</v>
      </c>
      <c r="H70" s="91" t="s">
        <v>347</v>
      </c>
      <c r="I70" s="92" t="s">
        <v>939</v>
      </c>
      <c r="J70" s="92" t="s">
        <v>1739</v>
      </c>
      <c r="K70" s="92"/>
    </row>
    <row r="71" spans="1:11">
      <c r="A71" s="91">
        <v>70</v>
      </c>
      <c r="B71" s="91" t="str">
        <f t="shared" si="2"/>
        <v>Phường Đức Chính, Thành phố Đông Triều, Tỉnh Quảng Ninh</v>
      </c>
      <c r="C71" s="91" t="s">
        <v>348</v>
      </c>
      <c r="D71" s="92" t="s">
        <v>911</v>
      </c>
      <c r="E71" s="92" t="s">
        <v>1749</v>
      </c>
      <c r="F71" s="92" t="s">
        <v>1739</v>
      </c>
      <c r="G71" s="92" t="str">
        <f t="shared" si="3"/>
        <v>Phường An Sinh, Tỉnh Quảng Ninh</v>
      </c>
      <c r="H71" s="91" t="s">
        <v>347</v>
      </c>
      <c r="I71" s="92" t="s">
        <v>939</v>
      </c>
      <c r="J71" s="92" t="s">
        <v>1739</v>
      </c>
      <c r="K71" s="92"/>
    </row>
    <row r="72" spans="1:11">
      <c r="A72" s="91">
        <v>71</v>
      </c>
      <c r="B72" s="91" t="str">
        <f t="shared" si="2"/>
        <v>Phường Đức Chính, Thành phố Đông Triều, Tỉnh Quảng Ninh</v>
      </c>
      <c r="C72" s="91" t="s">
        <v>348</v>
      </c>
      <c r="D72" s="92" t="s">
        <v>911</v>
      </c>
      <c r="E72" s="92" t="s">
        <v>1749</v>
      </c>
      <c r="F72" s="92" t="s">
        <v>1739</v>
      </c>
      <c r="G72" s="92" t="str">
        <f t="shared" si="3"/>
        <v>Phường Đông Triều, Tỉnh Quảng Ninh</v>
      </c>
      <c r="H72" s="91" t="s">
        <v>348</v>
      </c>
      <c r="I72" s="92" t="s">
        <v>907</v>
      </c>
      <c r="J72" s="92" t="s">
        <v>1739</v>
      </c>
      <c r="K72" s="92"/>
    </row>
    <row r="73" spans="1:11">
      <c r="A73" s="91">
        <v>72</v>
      </c>
      <c r="B73" s="91" t="str">
        <f t="shared" si="2"/>
        <v>Xã Nguyễn Huệ, Thành phố Đông Triều, Tỉnh Quảng Ninh</v>
      </c>
      <c r="C73" s="91" t="s">
        <v>350</v>
      </c>
      <c r="D73" s="92" t="s">
        <v>796</v>
      </c>
      <c r="E73" s="92" t="s">
        <v>1749</v>
      </c>
      <c r="F73" s="92" t="s">
        <v>1739</v>
      </c>
      <c r="G73" s="92" t="str">
        <f t="shared" si="3"/>
        <v>Phường Đông Triều, Tỉnh Quảng Ninh</v>
      </c>
      <c r="H73" s="91" t="s">
        <v>348</v>
      </c>
      <c r="I73" s="92" t="s">
        <v>907</v>
      </c>
      <c r="J73" s="92" t="s">
        <v>1739</v>
      </c>
      <c r="K73" s="92"/>
    </row>
    <row r="74" spans="1:11">
      <c r="A74" s="91">
        <v>73</v>
      </c>
      <c r="B74" s="91" t="str">
        <f t="shared" si="2"/>
        <v>Phường Thủy An, Thành phố Đông Triều, Tỉnh Quảng Ninh</v>
      </c>
      <c r="C74" s="91" t="s">
        <v>351</v>
      </c>
      <c r="D74" s="92" t="s">
        <v>1752</v>
      </c>
      <c r="E74" s="92" t="s">
        <v>1749</v>
      </c>
      <c r="F74" s="92" t="s">
        <v>1739</v>
      </c>
      <c r="G74" s="92" t="str">
        <f t="shared" si="3"/>
        <v>Phường Đông Triều, Tỉnh Quảng Ninh</v>
      </c>
      <c r="H74" s="91" t="s">
        <v>348</v>
      </c>
      <c r="I74" s="92" t="s">
        <v>907</v>
      </c>
      <c r="J74" s="92" t="s">
        <v>1739</v>
      </c>
      <c r="K74" s="92"/>
    </row>
    <row r="75" spans="1:11">
      <c r="A75" s="91">
        <v>74</v>
      </c>
      <c r="B75" s="91" t="str">
        <f t="shared" si="2"/>
        <v>Phường Hồng Phong, Thành phố Đông Triều, Tỉnh Quảng Ninh</v>
      </c>
      <c r="C75" s="91" t="s">
        <v>357</v>
      </c>
      <c r="D75" s="92" t="s">
        <v>918</v>
      </c>
      <c r="E75" s="92" t="s">
        <v>1749</v>
      </c>
      <c r="F75" s="92" t="s">
        <v>1739</v>
      </c>
      <c r="G75" s="92" t="str">
        <f t="shared" si="3"/>
        <v>Phường Đông Triều, Tỉnh Quảng Ninh</v>
      </c>
      <c r="H75" s="91" t="s">
        <v>348</v>
      </c>
      <c r="I75" s="92" t="s">
        <v>907</v>
      </c>
      <c r="J75" s="92" t="s">
        <v>1739</v>
      </c>
      <c r="K75" s="92"/>
    </row>
    <row r="76" spans="1:11">
      <c r="A76" s="91">
        <v>75</v>
      </c>
      <c r="B76" s="91" t="str">
        <f t="shared" si="2"/>
        <v>Phường Hưng Đạo, Thành phố Đông Triều, Tỉnh Quảng Ninh</v>
      </c>
      <c r="C76" s="91" t="s">
        <v>359</v>
      </c>
      <c r="D76" s="92" t="s">
        <v>920</v>
      </c>
      <c r="E76" s="92" t="s">
        <v>1749</v>
      </c>
      <c r="F76" s="92" t="s">
        <v>1739</v>
      </c>
      <c r="G76" s="92" t="str">
        <f t="shared" si="3"/>
        <v>Phường Đông Triều, Tỉnh Quảng Ninh</v>
      </c>
      <c r="H76" s="91" t="s">
        <v>348</v>
      </c>
      <c r="I76" s="92" t="s">
        <v>907</v>
      </c>
      <c r="J76" s="92" t="s">
        <v>1739</v>
      </c>
      <c r="K76" s="92"/>
    </row>
    <row r="77" spans="1:11">
      <c r="A77" s="91">
        <v>76</v>
      </c>
      <c r="B77" s="91" t="str">
        <f t="shared" si="2"/>
        <v>Xã Hồng Thái Tây, Thành phố Đông Triều, Tỉnh Quảng Ninh</v>
      </c>
      <c r="C77" s="91" t="s">
        <v>353</v>
      </c>
      <c r="D77" s="92" t="s">
        <v>914</v>
      </c>
      <c r="E77" s="92" t="s">
        <v>1749</v>
      </c>
      <c r="F77" s="92" t="s">
        <v>1739</v>
      </c>
      <c r="G77" s="92" t="str">
        <f t="shared" si="3"/>
        <v>Phường Hoàng Quế, Tỉnh Quảng Ninh</v>
      </c>
      <c r="H77" s="91" t="s">
        <v>355</v>
      </c>
      <c r="I77" s="92" t="s">
        <v>916</v>
      </c>
      <c r="J77" s="92" t="s">
        <v>1739</v>
      </c>
      <c r="K77" s="92"/>
    </row>
    <row r="78" spans="1:11">
      <c r="A78" s="91">
        <v>77</v>
      </c>
      <c r="B78" s="91" t="str">
        <f t="shared" si="2"/>
        <v>Xã Hồng Thái Đông, Thành phố Đông Triều, Tỉnh Quảng Ninh</v>
      </c>
      <c r="C78" s="91" t="s">
        <v>354</v>
      </c>
      <c r="D78" s="92" t="s">
        <v>915</v>
      </c>
      <c r="E78" s="92" t="s">
        <v>1749</v>
      </c>
      <c r="F78" s="92" t="s">
        <v>1739</v>
      </c>
      <c r="G78" s="92" t="str">
        <f t="shared" si="3"/>
        <v>Phường Hoàng Quế, Tỉnh Quảng Ninh</v>
      </c>
      <c r="H78" s="91" t="s">
        <v>355</v>
      </c>
      <c r="I78" s="92" t="s">
        <v>916</v>
      </c>
      <c r="J78" s="92" t="s">
        <v>1739</v>
      </c>
      <c r="K78" s="92"/>
    </row>
    <row r="79" spans="1:11">
      <c r="A79" s="91">
        <v>78</v>
      </c>
      <c r="B79" s="91" t="str">
        <f t="shared" si="2"/>
        <v>Phường Hoàng Quế, Thành phố Đông Triều, Tỉnh Quảng Ninh</v>
      </c>
      <c r="C79" s="91" t="s">
        <v>355</v>
      </c>
      <c r="D79" s="92" t="s">
        <v>916</v>
      </c>
      <c r="E79" s="92" t="s">
        <v>1749</v>
      </c>
      <c r="F79" s="92" t="s">
        <v>1739</v>
      </c>
      <c r="G79" s="92" t="str">
        <f t="shared" si="3"/>
        <v>Phường Hoàng Quế, Tỉnh Quảng Ninh</v>
      </c>
      <c r="H79" s="91" t="s">
        <v>355</v>
      </c>
      <c r="I79" s="92" t="s">
        <v>916</v>
      </c>
      <c r="J79" s="92" t="s">
        <v>1739</v>
      </c>
      <c r="K79" s="92"/>
    </row>
    <row r="80" spans="1:11">
      <c r="A80" s="91">
        <v>79</v>
      </c>
      <c r="B80" s="91" t="str">
        <f t="shared" si="2"/>
        <v>Phường Yên Đức, Thành phố Đông Triều, Tỉnh Quảng Ninh</v>
      </c>
      <c r="C80" s="91" t="s">
        <v>360</v>
      </c>
      <c r="D80" s="92" t="s">
        <v>1753</v>
      </c>
      <c r="E80" s="92" t="s">
        <v>1749</v>
      </c>
      <c r="F80" s="92" t="s">
        <v>1739</v>
      </c>
      <c r="G80" s="92" t="str">
        <f t="shared" si="3"/>
        <v>Phường Hoàng Quế, Tỉnh Quảng Ninh</v>
      </c>
      <c r="H80" s="91" t="s">
        <v>355</v>
      </c>
      <c r="I80" s="92" t="s">
        <v>916</v>
      </c>
      <c r="J80" s="92" t="s">
        <v>1739</v>
      </c>
      <c r="K80" s="92"/>
    </row>
    <row r="81" spans="1:11">
      <c r="A81" s="91">
        <v>80</v>
      </c>
      <c r="B81" s="91" t="str">
        <f t="shared" si="2"/>
        <v>Phường Quảng Yên, Thị Xã Quảng Yên, Tỉnh Quảng Ninh</v>
      </c>
      <c r="C81" s="91" t="s">
        <v>361</v>
      </c>
      <c r="D81" s="92" t="s">
        <v>921</v>
      </c>
      <c r="E81" s="92" t="s">
        <v>1754</v>
      </c>
      <c r="F81" s="92" t="s">
        <v>1739</v>
      </c>
      <c r="G81" s="92" t="str">
        <f t="shared" si="3"/>
        <v>Phường Quảng Yên, Tỉnh Quảng Ninh</v>
      </c>
      <c r="H81" s="93" t="s">
        <v>361</v>
      </c>
      <c r="I81" s="92" t="s">
        <v>921</v>
      </c>
      <c r="J81" s="92" t="s">
        <v>1739</v>
      </c>
      <c r="K81" s="92"/>
    </row>
    <row r="82" spans="1:11">
      <c r="A82" s="91">
        <v>81</v>
      </c>
      <c r="B82" s="91" t="str">
        <f t="shared" si="2"/>
        <v>Xã Tiền An, Thị xã Quảng Yên, Tỉnh Quảng Ninh</v>
      </c>
      <c r="C82" s="91" t="s">
        <v>367</v>
      </c>
      <c r="D82" s="92" t="s">
        <v>927</v>
      </c>
      <c r="E82" s="92" t="s">
        <v>1755</v>
      </c>
      <c r="F82" s="92" t="s">
        <v>1739</v>
      </c>
      <c r="G82" s="92" t="str">
        <f t="shared" si="3"/>
        <v>Phường Quảng Yên, Tỉnh Quảng Ninh</v>
      </c>
      <c r="H82" s="91" t="s">
        <v>361</v>
      </c>
      <c r="I82" s="92" t="s">
        <v>921</v>
      </c>
      <c r="J82" s="92" t="s">
        <v>1739</v>
      </c>
      <c r="K82" s="92"/>
    </row>
    <row r="83" spans="1:11">
      <c r="A83" s="91">
        <v>82</v>
      </c>
      <c r="B83" s="91" t="str">
        <f t="shared" si="2"/>
        <v>Phường Yên Giang, Thị xã Quảng Yên, Tỉnh Quảng Ninh</v>
      </c>
      <c r="C83" s="91" t="s">
        <v>370</v>
      </c>
      <c r="D83" s="92" t="s">
        <v>929</v>
      </c>
      <c r="E83" s="92" t="s">
        <v>1755</v>
      </c>
      <c r="F83" s="92" t="s">
        <v>1739</v>
      </c>
      <c r="G83" s="92" t="str">
        <f t="shared" si="3"/>
        <v>Phường Quảng Yên, Tỉnh Quảng Ninh</v>
      </c>
      <c r="H83" s="91" t="s">
        <v>361</v>
      </c>
      <c r="I83" s="92" t="s">
        <v>921</v>
      </c>
      <c r="J83" s="92" t="s">
        <v>1739</v>
      </c>
      <c r="K83" s="92"/>
    </row>
    <row r="84" spans="1:11">
      <c r="A84" s="91">
        <v>83</v>
      </c>
      <c r="B84" s="91" t="str">
        <f t="shared" si="2"/>
        <v>Phường Đông Mai, Thị Xã Quảng Yên, Tỉnh Quảng Ninh</v>
      </c>
      <c r="C84" s="91" t="s">
        <v>362</v>
      </c>
      <c r="D84" s="92" t="s">
        <v>922</v>
      </c>
      <c r="E84" s="92" t="s">
        <v>1754</v>
      </c>
      <c r="F84" s="92" t="s">
        <v>1739</v>
      </c>
      <c r="G84" s="92" t="str">
        <f t="shared" si="3"/>
        <v>Phường Đông Mai, Tỉnh Quảng Ninh</v>
      </c>
      <c r="H84" s="91" t="s">
        <v>362</v>
      </c>
      <c r="I84" s="92" t="s">
        <v>922</v>
      </c>
      <c r="J84" s="92" t="s">
        <v>1739</v>
      </c>
      <c r="K84" s="92"/>
    </row>
    <row r="85" spans="1:11">
      <c r="A85" s="91">
        <v>84</v>
      </c>
      <c r="B85" s="91" t="str">
        <f t="shared" si="2"/>
        <v>Phường Minh Thành, Thị xã Quảng Yên, Tỉnh Quảng Ninh</v>
      </c>
      <c r="C85" s="91" t="s">
        <v>363</v>
      </c>
      <c r="D85" s="92" t="s">
        <v>923</v>
      </c>
      <c r="E85" s="92" t="s">
        <v>1755</v>
      </c>
      <c r="F85" s="92" t="s">
        <v>1739</v>
      </c>
      <c r="G85" s="92" t="str">
        <f t="shared" si="3"/>
        <v>Phường Đông Mai, Tỉnh Quảng Ninh</v>
      </c>
      <c r="H85" s="91" t="s">
        <v>362</v>
      </c>
      <c r="I85" s="92" t="s">
        <v>922</v>
      </c>
      <c r="J85" s="92" t="s">
        <v>1739</v>
      </c>
      <c r="K85" s="92"/>
    </row>
    <row r="86" spans="1:11">
      <c r="A86" s="91">
        <v>85</v>
      </c>
      <c r="B86" s="91" t="str">
        <f t="shared" si="2"/>
        <v>Xã Sông Khoai, Thị Xã Quảng Yên, Tỉnh Quảng Ninh</v>
      </c>
      <c r="C86" s="91" t="s">
        <v>364</v>
      </c>
      <c r="D86" s="92" t="s">
        <v>924</v>
      </c>
      <c r="E86" s="92" t="s">
        <v>1754</v>
      </c>
      <c r="F86" s="92" t="s">
        <v>1739</v>
      </c>
      <c r="G86" s="92" t="str">
        <f t="shared" si="3"/>
        <v>Phường Hiệp Hòa, Tỉnh Quảng Ninh</v>
      </c>
      <c r="H86" s="91" t="s">
        <v>365</v>
      </c>
      <c r="I86" s="92" t="s">
        <v>944</v>
      </c>
      <c r="J86" s="92" t="s">
        <v>1739</v>
      </c>
      <c r="K86" s="92"/>
    </row>
    <row r="87" spans="1:11">
      <c r="A87" s="91">
        <v>86</v>
      </c>
      <c r="B87" s="91" t="str">
        <f t="shared" si="2"/>
        <v>Xã Hiệp Hòa, Thị xã Quảng Yên, Tỉnh Quảng Ninh</v>
      </c>
      <c r="C87" s="91" t="s">
        <v>365</v>
      </c>
      <c r="D87" s="92" t="s">
        <v>925</v>
      </c>
      <c r="E87" s="92" t="s">
        <v>1755</v>
      </c>
      <c r="F87" s="92" t="s">
        <v>1739</v>
      </c>
      <c r="G87" s="92" t="str">
        <f t="shared" si="3"/>
        <v>Phường Hiệp Hòa, Tỉnh Quảng Ninh</v>
      </c>
      <c r="H87" s="91" t="s">
        <v>365</v>
      </c>
      <c r="I87" s="92" t="s">
        <v>944</v>
      </c>
      <c r="J87" s="92" t="s">
        <v>1739</v>
      </c>
      <c r="K87" s="92"/>
    </row>
    <row r="88" spans="1:11">
      <c r="A88" s="91">
        <v>87</v>
      </c>
      <c r="B88" s="91" t="str">
        <f t="shared" si="2"/>
        <v>Phường Cộng Hòa, Thị xã Quảng Yên, Tỉnh Quảng Ninh</v>
      </c>
      <c r="C88" s="91" t="s">
        <v>366</v>
      </c>
      <c r="D88" s="92" t="s">
        <v>926</v>
      </c>
      <c r="E88" s="92" t="s">
        <v>1755</v>
      </c>
      <c r="F88" s="92" t="s">
        <v>1739</v>
      </c>
      <c r="G88" s="92" t="str">
        <f t="shared" si="3"/>
        <v>Phường Hiệp Hòa, Tỉnh Quảng Ninh</v>
      </c>
      <c r="H88" s="91" t="s">
        <v>365</v>
      </c>
      <c r="I88" s="92" t="s">
        <v>944</v>
      </c>
      <c r="J88" s="92" t="s">
        <v>1739</v>
      </c>
      <c r="K88" s="92"/>
    </row>
    <row r="89" spans="1:11">
      <c r="A89" s="91">
        <v>88</v>
      </c>
      <c r="B89" s="91" t="str">
        <f t="shared" si="2"/>
        <v>Xã Hoàng Tân, Thị Xã Quảng Yên, Tỉnh Quảng Ninh</v>
      </c>
      <c r="C89" s="91" t="s">
        <v>368</v>
      </c>
      <c r="D89" s="92" t="s">
        <v>928</v>
      </c>
      <c r="E89" s="92" t="s">
        <v>1754</v>
      </c>
      <c r="F89" s="92" t="s">
        <v>1739</v>
      </c>
      <c r="G89" s="92" t="str">
        <f t="shared" si="3"/>
        <v>Phường Hà An, Tỉnh Quảng Ninh</v>
      </c>
      <c r="H89" s="91" t="s">
        <v>372</v>
      </c>
      <c r="I89" s="92" t="s">
        <v>930</v>
      </c>
      <c r="J89" s="92" t="s">
        <v>1739</v>
      </c>
      <c r="K89" s="92"/>
    </row>
    <row r="90" spans="1:11">
      <c r="A90" s="91">
        <v>89</v>
      </c>
      <c r="B90" s="91" t="str">
        <f t="shared" si="2"/>
        <v>Phường Tân An, Thị xã Quảng Yên, Tỉnh Quảng Ninh</v>
      </c>
      <c r="C90" s="91" t="s">
        <v>369</v>
      </c>
      <c r="D90" s="92" t="s">
        <v>799</v>
      </c>
      <c r="E90" s="92" t="s">
        <v>1755</v>
      </c>
      <c r="F90" s="92" t="s">
        <v>1739</v>
      </c>
      <c r="G90" s="92" t="str">
        <f t="shared" si="3"/>
        <v>Phường Hà An, Tỉnh Quảng Ninh</v>
      </c>
      <c r="H90" s="91" t="s">
        <v>372</v>
      </c>
      <c r="I90" s="92" t="s">
        <v>930</v>
      </c>
      <c r="J90" s="92" t="s">
        <v>1739</v>
      </c>
      <c r="K90" s="92"/>
    </row>
    <row r="91" spans="1:11">
      <c r="A91" s="91">
        <v>90</v>
      </c>
      <c r="B91" s="91" t="str">
        <f t="shared" si="2"/>
        <v>Phường Hà An, Thị xã Quảng Yên, Tỉnh Quảng Ninh</v>
      </c>
      <c r="C91" s="91" t="s">
        <v>372</v>
      </c>
      <c r="D91" s="92" t="s">
        <v>930</v>
      </c>
      <c r="E91" s="92" t="s">
        <v>1755</v>
      </c>
      <c r="F91" s="92" t="s">
        <v>1739</v>
      </c>
      <c r="G91" s="92" t="str">
        <f t="shared" si="3"/>
        <v>Phường Hà An, Tỉnh Quảng Ninh</v>
      </c>
      <c r="H91" s="91" t="s">
        <v>372</v>
      </c>
      <c r="I91" s="92" t="s">
        <v>930</v>
      </c>
      <c r="J91" s="92" t="s">
        <v>1739</v>
      </c>
      <c r="K91" s="92"/>
    </row>
    <row r="92" spans="1:11">
      <c r="A92" s="91">
        <v>91</v>
      </c>
      <c r="B92" s="91" t="str">
        <f t="shared" si="2"/>
        <v>Xã Liên Hòa, Thị xã Quảng Yên, Tỉnh Quảng Ninh</v>
      </c>
      <c r="C92" s="91" t="s">
        <v>376</v>
      </c>
      <c r="D92" s="92" t="s">
        <v>934</v>
      </c>
      <c r="E92" s="92" t="s">
        <v>1755</v>
      </c>
      <c r="F92" s="92" t="s">
        <v>1739</v>
      </c>
      <c r="G92" s="92" t="str">
        <f t="shared" si="3"/>
        <v>Phường Hà An, Tỉnh Quảng Ninh</v>
      </c>
      <c r="H92" s="91" t="s">
        <v>372</v>
      </c>
      <c r="I92" s="92" t="s">
        <v>930</v>
      </c>
      <c r="J92" s="92" t="s">
        <v>1739</v>
      </c>
      <c r="K92" s="92"/>
    </row>
    <row r="93" spans="1:11" ht="15.75" customHeight="1">
      <c r="A93" s="91">
        <v>92</v>
      </c>
      <c r="B93" s="91" t="str">
        <f t="shared" si="2"/>
        <v>Phường Phong Hải, Thị Xã Quảng Yên, Tỉnh Quảng Ninh</v>
      </c>
      <c r="C93" s="91" t="s">
        <v>374</v>
      </c>
      <c r="D93" s="92" t="s">
        <v>932</v>
      </c>
      <c r="E93" s="92" t="s">
        <v>1754</v>
      </c>
      <c r="F93" s="92" t="s">
        <v>1739</v>
      </c>
      <c r="G93" s="92" t="str">
        <f t="shared" si="3"/>
        <v>Phường Liên Hòa, Tỉnh Quảng Ninh</v>
      </c>
      <c r="H93" s="91" t="s">
        <v>376</v>
      </c>
      <c r="I93" s="92" t="s">
        <v>1756</v>
      </c>
      <c r="J93" s="92" t="s">
        <v>1739</v>
      </c>
      <c r="K93" s="92"/>
    </row>
    <row r="94" spans="1:11" ht="15.75" customHeight="1">
      <c r="A94" s="91">
        <v>93</v>
      </c>
      <c r="B94" s="91" t="str">
        <f t="shared" si="2"/>
        <v>Xã Liên Hòa, Thị xã Quảng Yên, Tỉnh Quảng Ninh</v>
      </c>
      <c r="C94" s="91" t="s">
        <v>376</v>
      </c>
      <c r="D94" s="92" t="s">
        <v>934</v>
      </c>
      <c r="E94" s="92" t="s">
        <v>1755</v>
      </c>
      <c r="F94" s="92" t="s">
        <v>1739</v>
      </c>
      <c r="G94" s="92" t="str">
        <f t="shared" si="3"/>
        <v>Phường Liên Hòa, Tỉnh Quảng Ninh</v>
      </c>
      <c r="H94" s="91" t="s">
        <v>376</v>
      </c>
      <c r="I94" s="92" t="s">
        <v>1756</v>
      </c>
      <c r="J94" s="92" t="s">
        <v>1739</v>
      </c>
      <c r="K94" s="92"/>
    </row>
    <row r="95" spans="1:11">
      <c r="A95" s="91">
        <v>94</v>
      </c>
      <c r="B95" s="91" t="str">
        <f t="shared" si="2"/>
        <v>Xã Liên Vị, Thị xã Quảng Yên, Tỉnh Quảng Ninh</v>
      </c>
      <c r="C95" s="91" t="s">
        <v>378</v>
      </c>
      <c r="D95" s="92" t="s">
        <v>936</v>
      </c>
      <c r="E95" s="92" t="s">
        <v>1755</v>
      </c>
      <c r="F95" s="92" t="s">
        <v>1739</v>
      </c>
      <c r="G95" s="92" t="str">
        <f t="shared" si="3"/>
        <v>Phường Liên Hòa, Tỉnh Quảng Ninh</v>
      </c>
      <c r="H95" s="91" t="s">
        <v>376</v>
      </c>
      <c r="I95" s="92" t="s">
        <v>1756</v>
      </c>
      <c r="J95" s="92" t="s">
        <v>1739</v>
      </c>
      <c r="K95" s="92"/>
    </row>
    <row r="96" spans="1:11">
      <c r="A96" s="91">
        <v>95</v>
      </c>
      <c r="B96" s="91" t="str">
        <f t="shared" si="2"/>
        <v>Xã Tiền Phong, Thị xã Quảng Yên, Tỉnh Quảng Ninh</v>
      </c>
      <c r="C96" s="91" t="s">
        <v>379</v>
      </c>
      <c r="D96" s="92" t="s">
        <v>784</v>
      </c>
      <c r="E96" s="92" t="s">
        <v>1755</v>
      </c>
      <c r="F96" s="92" t="s">
        <v>1739</v>
      </c>
      <c r="G96" s="92" t="str">
        <f t="shared" si="3"/>
        <v>Phường Liên Hòa, Tỉnh Quảng Ninh</v>
      </c>
      <c r="H96" s="91" t="s">
        <v>376</v>
      </c>
      <c r="I96" s="92" t="s">
        <v>1756</v>
      </c>
      <c r="J96" s="92" t="s">
        <v>1739</v>
      </c>
      <c r="K96" s="92"/>
    </row>
    <row r="97" spans="1:11">
      <c r="A97" s="91">
        <v>96</v>
      </c>
      <c r="B97" s="91" t="str">
        <f t="shared" si="2"/>
        <v>Phường Nam Hòa, Thị Xã Quảng Yên, Tỉnh Quảng Ninh</v>
      </c>
      <c r="C97" s="91" t="s">
        <v>371</v>
      </c>
      <c r="D97" s="92" t="s">
        <v>1757</v>
      </c>
      <c r="E97" s="92" t="s">
        <v>1754</v>
      </c>
      <c r="F97" s="92" t="s">
        <v>1739</v>
      </c>
      <c r="G97" s="92" t="str">
        <f t="shared" si="3"/>
        <v>Phường Phong Cốc, Tỉnh Quảng Ninh</v>
      </c>
      <c r="H97" s="91" t="s">
        <v>377</v>
      </c>
      <c r="I97" s="92" t="s">
        <v>935</v>
      </c>
      <c r="J97" s="92" t="s">
        <v>1739</v>
      </c>
      <c r="K97" s="92"/>
    </row>
    <row r="98" spans="1:11">
      <c r="A98" s="91">
        <v>97</v>
      </c>
      <c r="B98" s="91" t="str">
        <f t="shared" si="2"/>
        <v>Xã Cẩm La, Thị xã Quảng Yên, Tỉnh Quảng Ninh</v>
      </c>
      <c r="C98" s="91" t="s">
        <v>373</v>
      </c>
      <c r="D98" s="92" t="s">
        <v>931</v>
      </c>
      <c r="E98" s="92" t="s">
        <v>1755</v>
      </c>
      <c r="F98" s="92" t="s">
        <v>1739</v>
      </c>
      <c r="G98" s="92" t="str">
        <f t="shared" si="3"/>
        <v>Phường Phong Cốc, Tỉnh Quảng Ninh</v>
      </c>
      <c r="H98" s="91" t="s">
        <v>377</v>
      </c>
      <c r="I98" s="92" t="s">
        <v>935</v>
      </c>
      <c r="J98" s="92" t="s">
        <v>1739</v>
      </c>
      <c r="K98" s="92"/>
    </row>
    <row r="99" spans="1:11">
      <c r="A99" s="91">
        <v>98</v>
      </c>
      <c r="B99" s="91" t="str">
        <f t="shared" si="2"/>
        <v>Phường Yên Hải, Thị xã Quảng Yên, Tỉnh Quảng Ninh</v>
      </c>
      <c r="C99" s="91" t="s">
        <v>375</v>
      </c>
      <c r="D99" s="92" t="s">
        <v>933</v>
      </c>
      <c r="E99" s="92" t="s">
        <v>1755</v>
      </c>
      <c r="F99" s="92" t="s">
        <v>1739</v>
      </c>
      <c r="G99" s="92" t="str">
        <f t="shared" si="3"/>
        <v>Phường Phong Cốc, Tỉnh Quảng Ninh</v>
      </c>
      <c r="H99" s="91" t="s">
        <v>377</v>
      </c>
      <c r="I99" s="92" t="s">
        <v>935</v>
      </c>
      <c r="J99" s="92" t="s">
        <v>1739</v>
      </c>
      <c r="K99" s="92"/>
    </row>
    <row r="100" spans="1:11">
      <c r="A100" s="91">
        <v>99</v>
      </c>
      <c r="B100" s="91" t="str">
        <f t="shared" si="2"/>
        <v>Phường Phong Cốc, Thị xã Quảng Yên, Tỉnh Quảng Ninh</v>
      </c>
      <c r="C100" s="91" t="s">
        <v>377</v>
      </c>
      <c r="D100" s="92" t="s">
        <v>935</v>
      </c>
      <c r="E100" s="92" t="s">
        <v>1755</v>
      </c>
      <c r="F100" s="92" t="s">
        <v>1739</v>
      </c>
      <c r="G100" s="92" t="str">
        <f t="shared" si="3"/>
        <v>Phường Phong Cốc, Tỉnh Quảng Ninh</v>
      </c>
      <c r="H100" s="91" t="s">
        <v>377</v>
      </c>
      <c r="I100" s="92" t="s">
        <v>935</v>
      </c>
      <c r="J100" s="92" t="s">
        <v>1739</v>
      </c>
      <c r="K100" s="92"/>
    </row>
    <row r="101" spans="1:11">
      <c r="A101" s="91">
        <v>100</v>
      </c>
      <c r="B101" s="91" t="str">
        <f t="shared" si="2"/>
        <v>Xã Hải Sơn, Thành phố Móng Cái, Tỉnh Quảng Ninh</v>
      </c>
      <c r="C101" s="91" t="s">
        <v>248</v>
      </c>
      <c r="D101" s="92" t="s">
        <v>830</v>
      </c>
      <c r="E101" s="92" t="s">
        <v>1740</v>
      </c>
      <c r="F101" s="92" t="s">
        <v>1739</v>
      </c>
      <c r="G101" s="92" t="str">
        <f t="shared" si="3"/>
        <v>Xã Hải Sơn, Tỉnh Quảng Ninh</v>
      </c>
      <c r="H101" s="91" t="s">
        <v>248</v>
      </c>
      <c r="I101" s="92" t="s">
        <v>830</v>
      </c>
      <c r="J101" s="92" t="s">
        <v>1739</v>
      </c>
      <c r="K101" s="92"/>
    </row>
    <row r="102" spans="1:11">
      <c r="A102" s="91">
        <v>101</v>
      </c>
      <c r="B102" s="91" t="str">
        <f t="shared" si="2"/>
        <v>Xã Bắc Sơn, Thành phố Móng Cái, Tỉnh Quảng Ninh</v>
      </c>
      <c r="C102" s="91" t="s">
        <v>249</v>
      </c>
      <c r="D102" s="92" t="s">
        <v>779</v>
      </c>
      <c r="E102" s="92" t="s">
        <v>1740</v>
      </c>
      <c r="F102" s="92" t="s">
        <v>1739</v>
      </c>
      <c r="G102" s="92" t="str">
        <f t="shared" si="3"/>
        <v>Xã Hải Sơn, Tỉnh Quảng Ninh</v>
      </c>
      <c r="H102" s="91" t="s">
        <v>248</v>
      </c>
      <c r="I102" s="92" t="s">
        <v>830</v>
      </c>
      <c r="J102" s="92" t="s">
        <v>1739</v>
      </c>
      <c r="K102" s="92"/>
    </row>
    <row r="103" spans="1:11">
      <c r="A103" s="91">
        <v>102</v>
      </c>
      <c r="B103" s="91" t="str">
        <f t="shared" si="2"/>
        <v>Xã Hải Tiến, Thành phố Móng Cái, Tỉnh Quảng Ninh</v>
      </c>
      <c r="C103" s="91" t="s">
        <v>251</v>
      </c>
      <c r="D103" s="92" t="s">
        <v>832</v>
      </c>
      <c r="E103" s="92" t="s">
        <v>1740</v>
      </c>
      <c r="F103" s="92" t="s">
        <v>1739</v>
      </c>
      <c r="G103" s="92" t="str">
        <f t="shared" si="3"/>
        <v>Xã Hải Ninh, Tỉnh Quảng Ninh</v>
      </c>
      <c r="H103" s="91" t="s">
        <v>251</v>
      </c>
      <c r="I103" s="92" t="s">
        <v>941</v>
      </c>
      <c r="J103" s="92" t="s">
        <v>1739</v>
      </c>
      <c r="K103" s="92"/>
    </row>
    <row r="104" spans="1:11">
      <c r="A104" s="91">
        <v>103</v>
      </c>
      <c r="B104" s="91" t="str">
        <f t="shared" si="2"/>
        <v>Xã Quảng Nghĩa, Thành phố Móng Cái, Tỉnh Quảng Ninh</v>
      </c>
      <c r="C104" s="91" t="s">
        <v>253</v>
      </c>
      <c r="D104" s="92" t="s">
        <v>834</v>
      </c>
      <c r="E104" s="92" t="s">
        <v>1740</v>
      </c>
      <c r="F104" s="92" t="s">
        <v>1739</v>
      </c>
      <c r="G104" s="92" t="str">
        <f t="shared" si="3"/>
        <v>Xã Hải Ninh, Tỉnh Quảng Ninh</v>
      </c>
      <c r="H104" s="91" t="s">
        <v>251</v>
      </c>
      <c r="I104" s="92" t="s">
        <v>941</v>
      </c>
      <c r="J104" s="92" t="s">
        <v>1739</v>
      </c>
      <c r="K104" s="92"/>
    </row>
    <row r="105" spans="1:11">
      <c r="A105" s="91">
        <v>104</v>
      </c>
      <c r="B105" s="91" t="str">
        <f t="shared" si="2"/>
        <v>Xã Vĩnh Trung, Thành phố Móng Cái, Tỉnh Quảng Ninh</v>
      </c>
      <c r="C105" s="91" t="s">
        <v>258</v>
      </c>
      <c r="D105" s="92" t="s">
        <v>838</v>
      </c>
      <c r="E105" s="92" t="s">
        <v>1740</v>
      </c>
      <c r="F105" s="92" t="s">
        <v>1739</v>
      </c>
      <c r="G105" s="92" t="str">
        <f t="shared" si="3"/>
        <v>Xã Vĩnh Thực, Tỉnh Quảng Ninh</v>
      </c>
      <c r="H105" s="91" t="s">
        <v>259</v>
      </c>
      <c r="I105" s="92" t="s">
        <v>839</v>
      </c>
      <c r="J105" s="92" t="s">
        <v>1739</v>
      </c>
      <c r="K105" s="92"/>
    </row>
    <row r="106" spans="1:11">
      <c r="A106" s="91">
        <v>105</v>
      </c>
      <c r="B106" s="91" t="str">
        <f t="shared" si="2"/>
        <v>Xã Vĩnh Thực, Thành phố Móng Cái, Tỉnh Quảng Ninh</v>
      </c>
      <c r="C106" s="91" t="s">
        <v>259</v>
      </c>
      <c r="D106" s="92" t="s">
        <v>839</v>
      </c>
      <c r="E106" s="92" t="s">
        <v>1740</v>
      </c>
      <c r="F106" s="92" t="s">
        <v>1739</v>
      </c>
      <c r="G106" s="92" t="str">
        <f t="shared" si="3"/>
        <v>Xã Vĩnh Thực, Tỉnh Quảng Ninh</v>
      </c>
      <c r="H106" s="91" t="s">
        <v>259</v>
      </c>
      <c r="I106" s="92" t="s">
        <v>839</v>
      </c>
      <c r="J106" s="92" t="s">
        <v>1739</v>
      </c>
      <c r="K106" s="92"/>
    </row>
    <row r="107" spans="1:11">
      <c r="A107" s="91">
        <v>106</v>
      </c>
      <c r="B107" s="91" t="str">
        <f t="shared" si="2"/>
        <v>Xã Hải Hòa, Thành phố Cẩm Phả, Tỉnh Quảng Ninh</v>
      </c>
      <c r="C107" s="91" t="s">
        <v>273</v>
      </c>
      <c r="D107" s="92" t="s">
        <v>942</v>
      </c>
      <c r="E107" s="92" t="s">
        <v>1744</v>
      </c>
      <c r="F107" s="92" t="s">
        <v>1739</v>
      </c>
      <c r="G107" s="92" t="str">
        <f t="shared" si="3"/>
        <v>Xã Hải Hòa, Tỉnh Quảng Ninh</v>
      </c>
      <c r="H107" s="91" t="s">
        <v>273</v>
      </c>
      <c r="I107" s="92" t="s">
        <v>942</v>
      </c>
      <c r="J107" s="92" t="s">
        <v>1739</v>
      </c>
      <c r="K107" s="92"/>
    </row>
    <row r="108" spans="1:11">
      <c r="A108" s="91">
        <v>107</v>
      </c>
      <c r="B108" s="91" t="str">
        <f t="shared" si="2"/>
        <v>Xã Hải Lạng, Huyện Tiên Yên, Tỉnh Quảng Ninh</v>
      </c>
      <c r="C108" s="91" t="s">
        <v>300</v>
      </c>
      <c r="D108" s="92" t="s">
        <v>875</v>
      </c>
      <c r="E108" s="92" t="s">
        <v>1758</v>
      </c>
      <c r="F108" s="92" t="s">
        <v>1739</v>
      </c>
      <c r="G108" s="92" t="str">
        <f t="shared" si="3"/>
        <v>Xã Hải Hòa, Tỉnh Quảng Ninh</v>
      </c>
      <c r="H108" s="91" t="s">
        <v>273</v>
      </c>
      <c r="I108" s="92" t="s">
        <v>942</v>
      </c>
      <c r="J108" s="92" t="s">
        <v>1739</v>
      </c>
      <c r="K108" s="92"/>
    </row>
    <row r="109" spans="1:11">
      <c r="A109" s="91">
        <v>108</v>
      </c>
      <c r="B109" s="91" t="str">
        <f t="shared" si="2"/>
        <v>Thị trấn Bình Liêu, Huyện Bình Liêu, Tỉnh Quảng Ninh</v>
      </c>
      <c r="C109" s="91" t="s">
        <v>285</v>
      </c>
      <c r="D109" s="92" t="s">
        <v>861</v>
      </c>
      <c r="E109" s="92" t="s">
        <v>1759</v>
      </c>
      <c r="F109" s="92" t="s">
        <v>1739</v>
      </c>
      <c r="G109" s="92" t="str">
        <f t="shared" si="3"/>
        <v>Xã Bình Liêu, Tỉnh Quảng Ninh</v>
      </c>
      <c r="H109" s="91" t="s">
        <v>285</v>
      </c>
      <c r="I109" s="92" t="s">
        <v>1760</v>
      </c>
      <c r="J109" s="92" t="s">
        <v>1739</v>
      </c>
      <c r="K109" s="92"/>
    </row>
    <row r="110" spans="1:11">
      <c r="A110" s="91">
        <v>109</v>
      </c>
      <c r="B110" s="91" t="str">
        <f t="shared" si="2"/>
        <v>Xã Vô Ngại, Huyện Bình Liêu, Tỉnh Quảng Ninh</v>
      </c>
      <c r="C110" s="91" t="s">
        <v>289</v>
      </c>
      <c r="D110" s="92" t="s">
        <v>864</v>
      </c>
      <c r="E110" s="92" t="s">
        <v>1759</v>
      </c>
      <c r="F110" s="92" t="s">
        <v>1739</v>
      </c>
      <c r="G110" s="92" t="str">
        <f t="shared" si="3"/>
        <v>Xã Bình Liêu, Tỉnh Quảng Ninh</v>
      </c>
      <c r="H110" s="91" t="s">
        <v>285</v>
      </c>
      <c r="I110" s="92" t="s">
        <v>1760</v>
      </c>
      <c r="J110" s="92" t="s">
        <v>1739</v>
      </c>
      <c r="K110" s="92"/>
    </row>
    <row r="111" spans="1:11">
      <c r="A111" s="91">
        <v>110</v>
      </c>
      <c r="B111" s="91" t="str">
        <f t="shared" si="2"/>
        <v>Xã Húc Động, Huyện Bình Liêu, Tỉnh Quảng Ninh</v>
      </c>
      <c r="C111" s="91" t="s">
        <v>291</v>
      </c>
      <c r="D111" s="92" t="s">
        <v>866</v>
      </c>
      <c r="E111" s="92" t="s">
        <v>1759</v>
      </c>
      <c r="F111" s="92" t="s">
        <v>1739</v>
      </c>
      <c r="G111" s="92" t="str">
        <f t="shared" si="3"/>
        <v>Xã Bình Liêu, Tỉnh Quảng Ninh</v>
      </c>
      <c r="H111" s="91" t="s">
        <v>285</v>
      </c>
      <c r="I111" s="92" t="s">
        <v>1760</v>
      </c>
      <c r="J111" s="92" t="s">
        <v>1739</v>
      </c>
      <c r="K111" s="92"/>
    </row>
    <row r="112" spans="1:11">
      <c r="A112" s="91">
        <v>111</v>
      </c>
      <c r="B112" s="91" t="str">
        <f t="shared" si="2"/>
        <v>Xã Hoành Mô, Huyện Bình Liêu, Tỉnh Quảng Ninh</v>
      </c>
      <c r="C112" s="91" t="s">
        <v>286</v>
      </c>
      <c r="D112" s="92" t="s">
        <v>862</v>
      </c>
      <c r="E112" s="92" t="s">
        <v>1759</v>
      </c>
      <c r="F112" s="92" t="s">
        <v>1739</v>
      </c>
      <c r="G112" s="92" t="str">
        <f t="shared" si="3"/>
        <v>Xã Hoành Mô, Tỉnh Quảng Ninh</v>
      </c>
      <c r="H112" s="91" t="s">
        <v>286</v>
      </c>
      <c r="I112" s="92" t="s">
        <v>862</v>
      </c>
      <c r="J112" s="92" t="s">
        <v>1739</v>
      </c>
      <c r="K112" s="92"/>
    </row>
    <row r="113" spans="1:11">
      <c r="A113" s="91">
        <v>112</v>
      </c>
      <c r="B113" s="91" t="str">
        <f t="shared" si="2"/>
        <v>Xã Đồng Văn, Huyện Bình Liêu, Tỉnh Quảng Ninh</v>
      </c>
      <c r="C113" s="91" t="s">
        <v>288</v>
      </c>
      <c r="D113" s="92" t="s">
        <v>863</v>
      </c>
      <c r="E113" s="92" t="s">
        <v>1759</v>
      </c>
      <c r="F113" s="92" t="s">
        <v>1739</v>
      </c>
      <c r="G113" s="92" t="str">
        <f t="shared" si="3"/>
        <v>Xã Hoành Mô, Tỉnh Quảng Ninh</v>
      </c>
      <c r="H113" s="91" t="s">
        <v>286</v>
      </c>
      <c r="I113" s="92" t="s">
        <v>862</v>
      </c>
      <c r="J113" s="92" t="s">
        <v>1739</v>
      </c>
      <c r="K113" s="92"/>
    </row>
    <row r="114" spans="1:11">
      <c r="A114" s="91">
        <v>113</v>
      </c>
      <c r="B114" s="91" t="str">
        <f t="shared" si="2"/>
        <v>Xã Đồng Tâm, Huyện Bình Liêu, Tỉnh Quảng Ninh</v>
      </c>
      <c r="C114" s="91" t="s">
        <v>287</v>
      </c>
      <c r="D114" s="92" t="s">
        <v>792</v>
      </c>
      <c r="E114" s="92" t="s">
        <v>1759</v>
      </c>
      <c r="F114" s="92" t="s">
        <v>1739</v>
      </c>
      <c r="G114" s="92" t="str">
        <f t="shared" si="3"/>
        <v>Xã Lục Hồn, Tỉnh Quảng Ninh</v>
      </c>
      <c r="H114" s="91" t="s">
        <v>290</v>
      </c>
      <c r="I114" s="92" t="s">
        <v>865</v>
      </c>
      <c r="J114" s="92" t="s">
        <v>1739</v>
      </c>
      <c r="K114" s="92"/>
    </row>
    <row r="115" spans="1:11">
      <c r="A115" s="91">
        <v>114</v>
      </c>
      <c r="B115" s="91" t="str">
        <f t="shared" si="2"/>
        <v>Xã Lục Hồn, Huyện Bình Liêu, Tỉnh Quảng Ninh</v>
      </c>
      <c r="C115" s="91" t="s">
        <v>290</v>
      </c>
      <c r="D115" s="92" t="s">
        <v>865</v>
      </c>
      <c r="E115" s="92" t="s">
        <v>1759</v>
      </c>
      <c r="F115" s="92" t="s">
        <v>1739</v>
      </c>
      <c r="G115" s="92" t="str">
        <f t="shared" si="3"/>
        <v>Xã Lục Hồn, Tỉnh Quảng Ninh</v>
      </c>
      <c r="H115" s="91" t="s">
        <v>290</v>
      </c>
      <c r="I115" s="92" t="s">
        <v>865</v>
      </c>
      <c r="J115" s="92" t="s">
        <v>1739</v>
      </c>
      <c r="K115" s="92"/>
    </row>
    <row r="116" spans="1:11">
      <c r="A116" s="91">
        <v>115</v>
      </c>
      <c r="B116" s="91" t="str">
        <f t="shared" si="2"/>
        <v>Thị trấn Tiên Yên, Huyện Tiên Yên, Tỉnh Quảng Ninh</v>
      </c>
      <c r="C116" s="91" t="s">
        <v>292</v>
      </c>
      <c r="D116" s="92" t="s">
        <v>867</v>
      </c>
      <c r="E116" s="92" t="s">
        <v>1758</v>
      </c>
      <c r="F116" s="92" t="s">
        <v>1739</v>
      </c>
      <c r="G116" s="92" t="str">
        <f t="shared" si="3"/>
        <v>Xã Tiên Yên, Tỉnh Quảng Ninh</v>
      </c>
      <c r="H116" s="91" t="s">
        <v>292</v>
      </c>
      <c r="I116" s="92" t="s">
        <v>793</v>
      </c>
      <c r="J116" s="92" t="s">
        <v>1739</v>
      </c>
      <c r="K116" s="92"/>
    </row>
    <row r="117" spans="1:11">
      <c r="A117" s="91">
        <v>116</v>
      </c>
      <c r="B117" s="91" t="str">
        <f t="shared" si="2"/>
        <v>Xã Đại Dực, Huyện Tiên Yên, Tỉnh Quảng Ninh</v>
      </c>
      <c r="C117" s="91" t="s">
        <v>294</v>
      </c>
      <c r="D117" s="92" t="s">
        <v>869</v>
      </c>
      <c r="E117" s="92" t="s">
        <v>1758</v>
      </c>
      <c r="F117" s="92" t="s">
        <v>1739</v>
      </c>
      <c r="G117" s="92" t="str">
        <f t="shared" si="3"/>
        <v>Xã Tiên Yên, Tỉnh Quảng Ninh</v>
      </c>
      <c r="H117" s="91" t="s">
        <v>292</v>
      </c>
      <c r="I117" s="92" t="s">
        <v>793</v>
      </c>
      <c r="J117" s="92" t="s">
        <v>1739</v>
      </c>
      <c r="K117" s="92"/>
    </row>
    <row r="118" spans="1:11">
      <c r="A118" s="91">
        <v>117</v>
      </c>
      <c r="B118" s="91" t="str">
        <f t="shared" si="2"/>
        <v>Xã Phong Dụ, Huyện Tiên Yên, Tỉnh Quảng Ninh</v>
      </c>
      <c r="C118" s="91" t="s">
        <v>295</v>
      </c>
      <c r="D118" s="92" t="s">
        <v>870</v>
      </c>
      <c r="E118" s="92" t="s">
        <v>1758</v>
      </c>
      <c r="F118" s="92" t="s">
        <v>1739</v>
      </c>
      <c r="G118" s="92" t="str">
        <f t="shared" si="3"/>
        <v>Xã Tiên Yên, Tỉnh Quảng Ninh</v>
      </c>
      <c r="H118" s="91" t="s">
        <v>292</v>
      </c>
      <c r="I118" s="92" t="s">
        <v>793</v>
      </c>
      <c r="J118" s="92" t="s">
        <v>1739</v>
      </c>
      <c r="K118" s="92"/>
    </row>
    <row r="119" spans="1:11">
      <c r="A119" s="91">
        <v>118</v>
      </c>
      <c r="B119" s="91" t="str">
        <f t="shared" si="2"/>
        <v>Xã Đông Ngũ, Huyện Tiên Yên, Tỉnh Quảng Ninh</v>
      </c>
      <c r="C119" s="91" t="s">
        <v>297</v>
      </c>
      <c r="D119" s="92" t="s">
        <v>872</v>
      </c>
      <c r="E119" s="92" t="s">
        <v>1758</v>
      </c>
      <c r="F119" s="92" t="s">
        <v>1739</v>
      </c>
      <c r="G119" s="92" t="str">
        <f t="shared" si="3"/>
        <v>Xã Tiên Yên, Tỉnh Quảng Ninh</v>
      </c>
      <c r="H119" s="91" t="s">
        <v>292</v>
      </c>
      <c r="I119" s="92" t="s">
        <v>793</v>
      </c>
      <c r="J119" s="92" t="s">
        <v>1739</v>
      </c>
      <c r="K119" s="92"/>
    </row>
    <row r="120" spans="1:11">
      <c r="A120" s="91">
        <v>119</v>
      </c>
      <c r="B120" s="91" t="str">
        <f t="shared" si="2"/>
        <v>Xã Yên Than, Huyện Tiên Yên, Tỉnh Quảng Ninh</v>
      </c>
      <c r="C120" s="91" t="s">
        <v>298</v>
      </c>
      <c r="D120" s="92" t="s">
        <v>873</v>
      </c>
      <c r="E120" s="92" t="s">
        <v>1758</v>
      </c>
      <c r="F120" s="92" t="s">
        <v>1739</v>
      </c>
      <c r="G120" s="92" t="str">
        <f t="shared" si="3"/>
        <v>Xã Tiên Yên, Tỉnh Quảng Ninh</v>
      </c>
      <c r="H120" s="91" t="s">
        <v>292</v>
      </c>
      <c r="I120" s="92" t="s">
        <v>793</v>
      </c>
      <c r="J120" s="92" t="s">
        <v>1739</v>
      </c>
      <c r="K120" s="92"/>
    </row>
    <row r="121" spans="1:11">
      <c r="A121" s="91">
        <v>120</v>
      </c>
      <c r="B121" s="91" t="str">
        <f t="shared" si="2"/>
        <v>Xã Tiên Lãng, Huyện Tiên Yên, Tỉnh Quảng Ninh</v>
      </c>
      <c r="C121" s="91" t="s">
        <v>301</v>
      </c>
      <c r="D121" s="92" t="s">
        <v>876</v>
      </c>
      <c r="E121" s="92" t="s">
        <v>1758</v>
      </c>
      <c r="F121" s="92" t="s">
        <v>1739</v>
      </c>
      <c r="G121" s="92" t="str">
        <f t="shared" si="3"/>
        <v>Xã Tiên Yên, Tỉnh Quảng Ninh</v>
      </c>
      <c r="H121" s="91" t="s">
        <v>292</v>
      </c>
      <c r="I121" s="92" t="s">
        <v>793</v>
      </c>
      <c r="J121" s="92" t="s">
        <v>1739</v>
      </c>
      <c r="K121" s="92"/>
    </row>
    <row r="122" spans="1:11">
      <c r="A122" s="91">
        <v>121</v>
      </c>
      <c r="B122" s="91" t="str">
        <f t="shared" si="2"/>
        <v>Xã Vô Ngại, Huyện Bình Liêu, Tỉnh Quảng Ninh</v>
      </c>
      <c r="C122" s="91" t="s">
        <v>289</v>
      </c>
      <c r="D122" s="92" t="s">
        <v>864</v>
      </c>
      <c r="E122" s="92" t="s">
        <v>1759</v>
      </c>
      <c r="F122" s="92" t="s">
        <v>1739</v>
      </c>
      <c r="G122" s="92" t="str">
        <f t="shared" si="3"/>
        <v>Xã Tiên Yên, Tỉnh Quảng Ninh</v>
      </c>
      <c r="H122" s="91" t="s">
        <v>292</v>
      </c>
      <c r="I122" s="92" t="s">
        <v>793</v>
      </c>
      <c r="J122" s="92" t="s">
        <v>1739</v>
      </c>
      <c r="K122" s="92"/>
    </row>
    <row r="123" spans="1:11">
      <c r="A123" s="91">
        <v>122</v>
      </c>
      <c r="B123" s="91" t="str">
        <f t="shared" si="2"/>
        <v>Xã Hà Lâu, Huyện Tiên Yên, Tỉnh Quảng Ninh</v>
      </c>
      <c r="C123" s="91" t="s">
        <v>293</v>
      </c>
      <c r="D123" s="92" t="s">
        <v>868</v>
      </c>
      <c r="E123" s="92" t="s">
        <v>1758</v>
      </c>
      <c r="F123" s="92" t="s">
        <v>1739</v>
      </c>
      <c r="G123" s="92" t="str">
        <f t="shared" si="3"/>
        <v>Xã Điền Xá, Tỉnh Quảng Ninh</v>
      </c>
      <c r="H123" s="91" t="s">
        <v>296</v>
      </c>
      <c r="I123" s="92" t="s">
        <v>871</v>
      </c>
      <c r="J123" s="92" t="s">
        <v>1739</v>
      </c>
      <c r="K123" s="92"/>
    </row>
    <row r="124" spans="1:11">
      <c r="A124" s="91">
        <v>123</v>
      </c>
      <c r="B124" s="91" t="str">
        <f t="shared" si="2"/>
        <v>Xã Điền Xá, Huyện Tiên Yên, Tỉnh Quảng Ninh</v>
      </c>
      <c r="C124" s="91" t="s">
        <v>296</v>
      </c>
      <c r="D124" s="92" t="s">
        <v>871</v>
      </c>
      <c r="E124" s="92" t="s">
        <v>1758</v>
      </c>
      <c r="F124" s="92" t="s">
        <v>1739</v>
      </c>
      <c r="G124" s="92" t="str">
        <f t="shared" si="3"/>
        <v>Xã Điền Xá, Tỉnh Quảng Ninh</v>
      </c>
      <c r="H124" s="91" t="s">
        <v>296</v>
      </c>
      <c r="I124" s="92" t="s">
        <v>871</v>
      </c>
      <c r="J124" s="92" t="s">
        <v>1739</v>
      </c>
      <c r="K124" s="92"/>
    </row>
    <row r="125" spans="1:11">
      <c r="A125" s="91">
        <v>124</v>
      </c>
      <c r="B125" s="91" t="str">
        <f t="shared" si="2"/>
        <v>Xã Yên Than, Huyện Tiên Yên, Tỉnh Quảng Ninh</v>
      </c>
      <c r="C125" s="91" t="s">
        <v>298</v>
      </c>
      <c r="D125" s="92" t="s">
        <v>873</v>
      </c>
      <c r="E125" s="92" t="s">
        <v>1758</v>
      </c>
      <c r="F125" s="92" t="s">
        <v>1739</v>
      </c>
      <c r="G125" s="92" t="str">
        <f t="shared" si="3"/>
        <v>Xã Điền Xá, Tỉnh Quảng Ninh</v>
      </c>
      <c r="H125" s="91" t="s">
        <v>296</v>
      </c>
      <c r="I125" s="92" t="s">
        <v>871</v>
      </c>
      <c r="J125" s="92" t="s">
        <v>1739</v>
      </c>
      <c r="K125" s="92"/>
    </row>
    <row r="126" spans="1:11">
      <c r="A126" s="91">
        <v>125</v>
      </c>
      <c r="B126" s="91" t="str">
        <f t="shared" si="2"/>
        <v>Xã Đại Dực, Huyện Tiên Yên, Tỉnh Quảng Ninh</v>
      </c>
      <c r="C126" s="91" t="s">
        <v>294</v>
      </c>
      <c r="D126" s="92" t="s">
        <v>869</v>
      </c>
      <c r="E126" s="92" t="s">
        <v>1758</v>
      </c>
      <c r="F126" s="92" t="s">
        <v>1739</v>
      </c>
      <c r="G126" s="92" t="str">
        <f t="shared" si="3"/>
        <v>Xã Đông Ngũ, Tỉnh Quảng Ninh</v>
      </c>
      <c r="H126" s="91" t="s">
        <v>297</v>
      </c>
      <c r="I126" s="92" t="s">
        <v>872</v>
      </c>
      <c r="J126" s="92" t="s">
        <v>1739</v>
      </c>
      <c r="K126" s="92"/>
    </row>
    <row r="127" spans="1:11">
      <c r="A127" s="91">
        <v>126</v>
      </c>
      <c r="B127" s="91" t="str">
        <f t="shared" si="2"/>
        <v>Xã Đông Ngũ, Huyện Tiên Yên, Tỉnh Quảng Ninh</v>
      </c>
      <c r="C127" s="91" t="s">
        <v>297</v>
      </c>
      <c r="D127" s="92" t="s">
        <v>872</v>
      </c>
      <c r="E127" s="92" t="s">
        <v>1758</v>
      </c>
      <c r="F127" s="92" t="s">
        <v>1739</v>
      </c>
      <c r="G127" s="92" t="str">
        <f t="shared" si="3"/>
        <v>Xã Đông Ngũ, Tỉnh Quảng Ninh</v>
      </c>
      <c r="H127" s="91" t="s">
        <v>297</v>
      </c>
      <c r="I127" s="92" t="s">
        <v>872</v>
      </c>
      <c r="J127" s="92" t="s">
        <v>1739</v>
      </c>
      <c r="K127" s="92"/>
    </row>
    <row r="128" spans="1:11">
      <c r="A128" s="91">
        <v>127</v>
      </c>
      <c r="B128" s="91" t="str">
        <f t="shared" si="2"/>
        <v>Xã Đông Hải, Huyện Tiên Yên, Tỉnh Quảng Ninh</v>
      </c>
      <c r="C128" s="91" t="s">
        <v>299</v>
      </c>
      <c r="D128" s="92" t="s">
        <v>874</v>
      </c>
      <c r="E128" s="92" t="s">
        <v>1758</v>
      </c>
      <c r="F128" s="92" t="s">
        <v>1739</v>
      </c>
      <c r="G128" s="92" t="str">
        <f t="shared" si="3"/>
        <v>Xã Đông Ngũ, Tỉnh Quảng Ninh</v>
      </c>
      <c r="H128" s="91" t="s">
        <v>297</v>
      </c>
      <c r="I128" s="92" t="s">
        <v>872</v>
      </c>
      <c r="J128" s="92" t="s">
        <v>1739</v>
      </c>
      <c r="K128" s="92"/>
    </row>
    <row r="129" spans="1:11">
      <c r="A129" s="91">
        <v>128</v>
      </c>
      <c r="B129" s="91" t="str">
        <f t="shared" si="2"/>
        <v>Xã Hải Lạng, Huyện Tiên Yên, Tỉnh Quảng Ninh</v>
      </c>
      <c r="C129" s="91" t="s">
        <v>300</v>
      </c>
      <c r="D129" s="92" t="s">
        <v>875</v>
      </c>
      <c r="E129" s="92" t="s">
        <v>1758</v>
      </c>
      <c r="F129" s="92" t="s">
        <v>1739</v>
      </c>
      <c r="G129" s="92" t="str">
        <f t="shared" si="3"/>
        <v>Xã Hải Lạng, Tỉnh Quảng Ninh</v>
      </c>
      <c r="H129" s="91" t="s">
        <v>300</v>
      </c>
      <c r="I129" s="92" t="s">
        <v>875</v>
      </c>
      <c r="J129" s="92" t="s">
        <v>1739</v>
      </c>
      <c r="K129" s="92"/>
    </row>
    <row r="130" spans="1:11">
      <c r="A130" s="91">
        <v>129</v>
      </c>
      <c r="B130" s="91" t="str">
        <f t="shared" si="2"/>
        <v>Xã Đồng Rui, Huyện Tiên Yên, Tỉnh Quảng Ninh</v>
      </c>
      <c r="C130" s="91" t="s">
        <v>302</v>
      </c>
      <c r="D130" s="92" t="s">
        <v>877</v>
      </c>
      <c r="E130" s="92" t="s">
        <v>1758</v>
      </c>
      <c r="F130" s="92" t="s">
        <v>1739</v>
      </c>
      <c r="G130" s="92" t="str">
        <f t="shared" si="3"/>
        <v>Xã Hải Lạng, Tỉnh Quảng Ninh</v>
      </c>
      <c r="H130" s="91" t="s">
        <v>300</v>
      </c>
      <c r="I130" s="92" t="s">
        <v>875</v>
      </c>
      <c r="J130" s="92" t="s">
        <v>1739</v>
      </c>
      <c r="K130" s="92"/>
    </row>
    <row r="131" spans="1:11">
      <c r="A131" s="91">
        <v>130</v>
      </c>
      <c r="B131" s="91" t="str">
        <f t="shared" ref="B131:B185" si="4">D131&amp;", "&amp;E131&amp;", "&amp;F131</f>
        <v>Xã Hải Hòa, Thành phố Cẩm Phả, Tỉnh Quảng Ninh</v>
      </c>
      <c r="C131" s="91" t="s">
        <v>273</v>
      </c>
      <c r="D131" s="92" t="s">
        <v>942</v>
      </c>
      <c r="E131" s="92" t="s">
        <v>1744</v>
      </c>
      <c r="F131" s="92" t="s">
        <v>1739</v>
      </c>
      <c r="G131" s="92" t="str">
        <f t="shared" ref="G131:G185" si="5">I131&amp;", "&amp;J131</f>
        <v>Xã Hải Lạng, Tỉnh Quảng Ninh</v>
      </c>
      <c r="H131" s="91" t="s">
        <v>300</v>
      </c>
      <c r="I131" s="92" t="s">
        <v>875</v>
      </c>
      <c r="J131" s="92" t="s">
        <v>1739</v>
      </c>
      <c r="K131" s="92"/>
    </row>
    <row r="132" spans="1:11">
      <c r="A132" s="91">
        <v>131</v>
      </c>
      <c r="B132" s="91" t="str">
        <f t="shared" si="4"/>
        <v>Thị trấn Đầm Hà, Huyện Đầm Hà, Tỉnh Quảng Ninh</v>
      </c>
      <c r="C132" s="91" t="s">
        <v>303</v>
      </c>
      <c r="D132" s="92" t="s">
        <v>878</v>
      </c>
      <c r="E132" s="92" t="s">
        <v>1761</v>
      </c>
      <c r="F132" s="92" t="s">
        <v>1739</v>
      </c>
      <c r="G132" s="92" t="str">
        <f t="shared" si="5"/>
        <v>Xã Đầm Hà, Tỉnh Quảng Ninh</v>
      </c>
      <c r="H132" s="91" t="s">
        <v>303</v>
      </c>
      <c r="I132" s="92" t="s">
        <v>883</v>
      </c>
      <c r="J132" s="92" t="s">
        <v>1739</v>
      </c>
      <c r="K132" s="92"/>
    </row>
    <row r="133" spans="1:11">
      <c r="A133" s="91">
        <v>132</v>
      </c>
      <c r="B133" s="91" t="str">
        <f t="shared" si="4"/>
        <v>Xã Tân Bình, Huyện Đầm Hà, Tỉnh Quảng Ninh</v>
      </c>
      <c r="C133" s="91" t="s">
        <v>306</v>
      </c>
      <c r="D133" s="92" t="s">
        <v>880</v>
      </c>
      <c r="E133" s="92" t="s">
        <v>1761</v>
      </c>
      <c r="F133" s="92" t="s">
        <v>1739</v>
      </c>
      <c r="G133" s="92" t="str">
        <f t="shared" si="5"/>
        <v>Xã Đầm Hà, Tỉnh Quảng Ninh</v>
      </c>
      <c r="H133" s="91" t="s">
        <v>303</v>
      </c>
      <c r="I133" s="92" t="s">
        <v>883</v>
      </c>
      <c r="J133" s="92" t="s">
        <v>1739</v>
      </c>
      <c r="K133" s="92"/>
    </row>
    <row r="134" spans="1:11">
      <c r="A134" s="91">
        <v>133</v>
      </c>
      <c r="B134" s="91" t="str">
        <f t="shared" si="4"/>
        <v>Xã Đầm Hà, Huyện Đầm Hà, Tỉnh Quảng Ninh</v>
      </c>
      <c r="C134" s="91" t="s">
        <v>309</v>
      </c>
      <c r="D134" s="92" t="s">
        <v>883</v>
      </c>
      <c r="E134" s="92" t="s">
        <v>1761</v>
      </c>
      <c r="F134" s="92" t="s">
        <v>1739</v>
      </c>
      <c r="G134" s="92" t="str">
        <f t="shared" si="5"/>
        <v>Xã Đầm Hà, Tỉnh Quảng Ninh</v>
      </c>
      <c r="H134" s="91" t="s">
        <v>303</v>
      </c>
      <c r="I134" s="92" t="s">
        <v>883</v>
      </c>
      <c r="J134" s="92" t="s">
        <v>1739</v>
      </c>
      <c r="K134" s="92"/>
    </row>
    <row r="135" spans="1:11">
      <c r="A135" s="91">
        <v>134</v>
      </c>
      <c r="B135" s="91" t="str">
        <f t="shared" si="4"/>
        <v>Xã Tân Lập, Huyện Đầm Hà, Tỉnh Quảng Ninh</v>
      </c>
      <c r="C135" s="91" t="s">
        <v>310</v>
      </c>
      <c r="D135" s="92" t="s">
        <v>786</v>
      </c>
      <c r="E135" s="92" t="s">
        <v>1761</v>
      </c>
      <c r="F135" s="92" t="s">
        <v>1739</v>
      </c>
      <c r="G135" s="92" t="str">
        <f t="shared" si="5"/>
        <v>Xã Đầm Hà, Tỉnh Quảng Ninh</v>
      </c>
      <c r="H135" s="91" t="s">
        <v>303</v>
      </c>
      <c r="I135" s="92" t="s">
        <v>883</v>
      </c>
      <c r="J135" s="92" t="s">
        <v>1739</v>
      </c>
      <c r="K135" s="92"/>
    </row>
    <row r="136" spans="1:11">
      <c r="A136" s="91">
        <v>135</v>
      </c>
      <c r="B136" s="91" t="str">
        <f t="shared" si="4"/>
        <v>Xã Đại Bình, Huyện Đầm Hà, Tỉnh Quảng Ninh</v>
      </c>
      <c r="C136" s="91" t="s">
        <v>311</v>
      </c>
      <c r="D136" s="92" t="s">
        <v>884</v>
      </c>
      <c r="E136" s="92" t="s">
        <v>1761</v>
      </c>
      <c r="F136" s="92" t="s">
        <v>1739</v>
      </c>
      <c r="G136" s="92" t="str">
        <f t="shared" si="5"/>
        <v>Xã Đầm Hà, Tỉnh Quảng Ninh</v>
      </c>
      <c r="H136" s="91" t="s">
        <v>303</v>
      </c>
      <c r="I136" s="92" t="s">
        <v>883</v>
      </c>
      <c r="J136" s="92" t="s">
        <v>1739</v>
      </c>
      <c r="K136" s="92"/>
    </row>
    <row r="137" spans="1:11">
      <c r="A137" s="91">
        <v>136</v>
      </c>
      <c r="B137" s="91" t="str">
        <f t="shared" si="4"/>
        <v>Xã Quảng Lâm, Huyện Đầm Hà, Tỉnh Quảng Ninh</v>
      </c>
      <c r="C137" s="91" t="s">
        <v>304</v>
      </c>
      <c r="D137" s="92" t="s">
        <v>794</v>
      </c>
      <c r="E137" s="92" t="s">
        <v>1761</v>
      </c>
      <c r="F137" s="92" t="s">
        <v>1739</v>
      </c>
      <c r="G137" s="92" t="str">
        <f t="shared" si="5"/>
        <v>Xã Quảng Tân, Tỉnh Quảng Ninh</v>
      </c>
      <c r="H137" s="91" t="s">
        <v>308</v>
      </c>
      <c r="I137" s="92" t="s">
        <v>882</v>
      </c>
      <c r="J137" s="92" t="s">
        <v>1739</v>
      </c>
      <c r="K137" s="92"/>
    </row>
    <row r="138" spans="1:11">
      <c r="A138" s="91">
        <v>137</v>
      </c>
      <c r="B138" s="91" t="str">
        <f t="shared" si="4"/>
        <v>Xã Quảng An, Huyện Đầm Hà, Tỉnh Quảng Ninh</v>
      </c>
      <c r="C138" s="91" t="s">
        <v>305</v>
      </c>
      <c r="D138" s="92" t="s">
        <v>879</v>
      </c>
      <c r="E138" s="92" t="s">
        <v>1761</v>
      </c>
      <c r="F138" s="92" t="s">
        <v>1739</v>
      </c>
      <c r="G138" s="92" t="str">
        <f t="shared" si="5"/>
        <v>Xã Quảng Tân, Tỉnh Quảng Ninh</v>
      </c>
      <c r="H138" s="91" t="s">
        <v>308</v>
      </c>
      <c r="I138" s="92" t="s">
        <v>882</v>
      </c>
      <c r="J138" s="92" t="s">
        <v>1739</v>
      </c>
      <c r="K138" s="92"/>
    </row>
    <row r="139" spans="1:11">
      <c r="A139" s="91">
        <v>138</v>
      </c>
      <c r="B139" s="91" t="str">
        <f t="shared" si="4"/>
        <v>Xã Dực Yên, Huyện Đầm Hà, Tỉnh Quảng Ninh</v>
      </c>
      <c r="C139" s="91" t="s">
        <v>307</v>
      </c>
      <c r="D139" s="92" t="s">
        <v>881</v>
      </c>
      <c r="E139" s="92" t="s">
        <v>1761</v>
      </c>
      <c r="F139" s="92" t="s">
        <v>1739</v>
      </c>
      <c r="G139" s="92" t="str">
        <f t="shared" si="5"/>
        <v>Xã Quảng Tân, Tỉnh Quảng Ninh</v>
      </c>
      <c r="H139" s="91" t="s">
        <v>308</v>
      </c>
      <c r="I139" s="92" t="s">
        <v>882</v>
      </c>
      <c r="J139" s="92" t="s">
        <v>1739</v>
      </c>
      <c r="K139" s="92"/>
    </row>
    <row r="140" spans="1:11">
      <c r="A140" s="91">
        <v>139</v>
      </c>
      <c r="B140" s="91" t="str">
        <f t="shared" si="4"/>
        <v>Xã Quảng Tân, Huyện Đầm Hà, Tỉnh Quảng Ninh</v>
      </c>
      <c r="C140" s="91" t="s">
        <v>308</v>
      </c>
      <c r="D140" s="92" t="s">
        <v>882</v>
      </c>
      <c r="E140" s="92" t="s">
        <v>1761</v>
      </c>
      <c r="F140" s="92" t="s">
        <v>1739</v>
      </c>
      <c r="G140" s="92" t="str">
        <f t="shared" si="5"/>
        <v>Xã Quảng Tân, Tỉnh Quảng Ninh</v>
      </c>
      <c r="H140" s="91" t="s">
        <v>308</v>
      </c>
      <c r="I140" s="92" t="s">
        <v>882</v>
      </c>
      <c r="J140" s="92" t="s">
        <v>1739</v>
      </c>
      <c r="K140" s="92"/>
    </row>
    <row r="141" spans="1:11">
      <c r="A141" s="91">
        <v>140</v>
      </c>
      <c r="B141" s="91" t="str">
        <f t="shared" si="4"/>
        <v>Thị trấn Quảng Hà, Huyện Hải Hà, Tỉnh Quảng Ninh</v>
      </c>
      <c r="C141" s="91" t="s">
        <v>312</v>
      </c>
      <c r="D141" s="92" t="s">
        <v>885</v>
      </c>
      <c r="E141" s="92" t="s">
        <v>1762</v>
      </c>
      <c r="F141" s="92" t="s">
        <v>1739</v>
      </c>
      <c r="G141" s="92" t="str">
        <f t="shared" si="5"/>
        <v>Xã Quảng Hà, Tỉnh Quảng Ninh</v>
      </c>
      <c r="H141" s="91" t="s">
        <v>312</v>
      </c>
      <c r="I141" s="92" t="s">
        <v>1763</v>
      </c>
      <c r="J141" s="92" t="s">
        <v>1739</v>
      </c>
      <c r="K141" s="92"/>
    </row>
    <row r="142" spans="1:11">
      <c r="A142" s="91">
        <v>141</v>
      </c>
      <c r="B142" s="91" t="str">
        <f t="shared" si="4"/>
        <v>Xã Quảng Minh, Huyện Hải Hà, Tỉnh Quảng Ninh</v>
      </c>
      <c r="C142" s="91" t="s">
        <v>317</v>
      </c>
      <c r="D142" s="92" t="s">
        <v>890</v>
      </c>
      <c r="E142" s="92" t="s">
        <v>1762</v>
      </c>
      <c r="F142" s="92" t="s">
        <v>1739</v>
      </c>
      <c r="G142" s="92" t="str">
        <f t="shared" si="5"/>
        <v>Xã Quảng Hà, Tỉnh Quảng Ninh</v>
      </c>
      <c r="H142" s="91" t="s">
        <v>312</v>
      </c>
      <c r="I142" s="92" t="s">
        <v>1763</v>
      </c>
      <c r="J142" s="92" t="s">
        <v>1739</v>
      </c>
      <c r="K142" s="92"/>
    </row>
    <row r="143" spans="1:11">
      <c r="A143" s="91">
        <v>142</v>
      </c>
      <c r="B143" s="91" t="str">
        <f t="shared" si="4"/>
        <v>Xã Quảng Chính, Huyện Hải Hà, Tỉnh Quảng Ninh</v>
      </c>
      <c r="C143" s="91" t="s">
        <v>318</v>
      </c>
      <c r="D143" s="92" t="s">
        <v>891</v>
      </c>
      <c r="E143" s="92" t="s">
        <v>1762</v>
      </c>
      <c r="F143" s="92" t="s">
        <v>1739</v>
      </c>
      <c r="G143" s="92" t="str">
        <f t="shared" si="5"/>
        <v>Xã Quảng Hà, Tỉnh Quảng Ninh</v>
      </c>
      <c r="H143" s="91" t="s">
        <v>312</v>
      </c>
      <c r="I143" s="92" t="s">
        <v>1763</v>
      </c>
      <c r="J143" s="92" t="s">
        <v>1739</v>
      </c>
      <c r="K143" s="92"/>
    </row>
    <row r="144" spans="1:11">
      <c r="A144" s="91">
        <v>143</v>
      </c>
      <c r="B144" s="91" t="str">
        <f t="shared" si="4"/>
        <v>Xã Quảng Long, Huyện Hải Hà, Tỉnh Quảng Ninh</v>
      </c>
      <c r="C144" s="91" t="s">
        <v>319</v>
      </c>
      <c r="D144" s="92" t="s">
        <v>892</v>
      </c>
      <c r="E144" s="92" t="s">
        <v>1762</v>
      </c>
      <c r="F144" s="92" t="s">
        <v>1739</v>
      </c>
      <c r="G144" s="92" t="str">
        <f t="shared" si="5"/>
        <v>Xã Quảng Hà, Tỉnh Quảng Ninh</v>
      </c>
      <c r="H144" s="91" t="s">
        <v>312</v>
      </c>
      <c r="I144" s="92" t="s">
        <v>1763</v>
      </c>
      <c r="J144" s="92" t="s">
        <v>1739</v>
      </c>
      <c r="K144" s="92"/>
    </row>
    <row r="145" spans="1:11">
      <c r="A145" s="91">
        <v>144</v>
      </c>
      <c r="B145" s="91" t="str">
        <f t="shared" si="4"/>
        <v>Xã Quảng Phong, Huyện Hải Hà, Tỉnh Quảng Ninh</v>
      </c>
      <c r="C145" s="91" t="s">
        <v>321</v>
      </c>
      <c r="D145" s="92" t="s">
        <v>894</v>
      </c>
      <c r="E145" s="92" t="s">
        <v>1762</v>
      </c>
      <c r="F145" s="92" t="s">
        <v>1739</v>
      </c>
      <c r="G145" s="92" t="str">
        <f t="shared" si="5"/>
        <v>Xã Quảng Hà, Tỉnh Quảng Ninh</v>
      </c>
      <c r="H145" s="91" t="s">
        <v>312</v>
      </c>
      <c r="I145" s="92" t="s">
        <v>1763</v>
      </c>
      <c r="J145" s="92" t="s">
        <v>1739</v>
      </c>
      <c r="K145" s="92"/>
    </row>
    <row r="146" spans="1:11">
      <c r="A146" s="91">
        <v>145</v>
      </c>
      <c r="B146" s="91" t="str">
        <f t="shared" si="4"/>
        <v>Xã Quảng Đức, Huyện Hải Hà, Tỉnh Quảng Ninh</v>
      </c>
      <c r="C146" s="91" t="s">
        <v>313</v>
      </c>
      <c r="D146" s="92" t="s">
        <v>886</v>
      </c>
      <c r="E146" s="92" t="s">
        <v>1762</v>
      </c>
      <c r="F146" s="92" t="s">
        <v>1739</v>
      </c>
      <c r="G146" s="92" t="str">
        <f t="shared" si="5"/>
        <v>Xã Quảng Đức, Tỉnh Quảng Ninh</v>
      </c>
      <c r="H146" s="91" t="s">
        <v>315</v>
      </c>
      <c r="I146" s="92" t="s">
        <v>886</v>
      </c>
      <c r="J146" s="92" t="s">
        <v>1739</v>
      </c>
      <c r="K146" s="92"/>
    </row>
    <row r="147" spans="1:11">
      <c r="A147" s="91">
        <v>146</v>
      </c>
      <c r="B147" s="91" t="str">
        <f t="shared" si="4"/>
        <v>Xã Quảng Thành, Huyện Hải Hà, Tỉnh Quảng Ninh</v>
      </c>
      <c r="C147" s="91" t="s">
        <v>315</v>
      </c>
      <c r="D147" s="92" t="s">
        <v>888</v>
      </c>
      <c r="E147" s="92" t="s">
        <v>1762</v>
      </c>
      <c r="F147" s="92" t="s">
        <v>1739</v>
      </c>
      <c r="G147" s="92" t="str">
        <f t="shared" si="5"/>
        <v>Xã Quảng Đức, Tỉnh Quảng Ninh</v>
      </c>
      <c r="H147" s="91" t="s">
        <v>315</v>
      </c>
      <c r="I147" s="92" t="s">
        <v>886</v>
      </c>
      <c r="J147" s="92" t="s">
        <v>1739</v>
      </c>
      <c r="K147" s="92"/>
    </row>
    <row r="148" spans="1:11">
      <c r="A148" s="91">
        <v>147</v>
      </c>
      <c r="B148" s="91" t="str">
        <f t="shared" si="4"/>
        <v>Xã Quảng Thịnh, Huyện Hải Hà, Tỉnh Quảng Ninh</v>
      </c>
      <c r="C148" s="91" t="s">
        <v>316</v>
      </c>
      <c r="D148" s="92" t="s">
        <v>889</v>
      </c>
      <c r="E148" s="92" t="s">
        <v>1762</v>
      </c>
      <c r="F148" s="92" t="s">
        <v>1739</v>
      </c>
      <c r="G148" s="92" t="str">
        <f t="shared" si="5"/>
        <v>Xã Quảng Đức, Tỉnh Quảng Ninh</v>
      </c>
      <c r="H148" s="91" t="s">
        <v>315</v>
      </c>
      <c r="I148" s="92" t="s">
        <v>886</v>
      </c>
      <c r="J148" s="92" t="s">
        <v>1739</v>
      </c>
      <c r="K148" s="92"/>
    </row>
    <row r="149" spans="1:11">
      <c r="A149" s="91">
        <v>148</v>
      </c>
      <c r="B149" s="91" t="str">
        <f t="shared" si="4"/>
        <v>Xã Quảng Sơn, Huyện Hải Hà, Tỉnh Quảng Ninh</v>
      </c>
      <c r="C149" s="91" t="s">
        <v>314</v>
      </c>
      <c r="D149" s="92" t="s">
        <v>887</v>
      </c>
      <c r="E149" s="92" t="s">
        <v>1762</v>
      </c>
      <c r="F149" s="92" t="s">
        <v>1739</v>
      </c>
      <c r="G149" s="92" t="str">
        <f t="shared" si="5"/>
        <v>Xã Đường Hoa, Tỉnh Quảng Ninh</v>
      </c>
      <c r="H149" s="91" t="s">
        <v>319</v>
      </c>
      <c r="I149" s="92" t="s">
        <v>893</v>
      </c>
      <c r="J149" s="92" t="s">
        <v>1739</v>
      </c>
      <c r="K149" s="92"/>
    </row>
    <row r="150" spans="1:11">
      <c r="A150" s="91">
        <v>149</v>
      </c>
      <c r="B150" s="91" t="str">
        <f t="shared" si="4"/>
        <v>Xã Quảng Long, Huyện Hải Hà, Tỉnh Quảng Ninh</v>
      </c>
      <c r="C150" s="91" t="s">
        <v>319</v>
      </c>
      <c r="D150" s="92" t="s">
        <v>892</v>
      </c>
      <c r="E150" s="92" t="s">
        <v>1762</v>
      </c>
      <c r="F150" s="92" t="s">
        <v>1739</v>
      </c>
      <c r="G150" s="92" t="str">
        <f t="shared" si="5"/>
        <v>Xã Đường Hoa, Tỉnh Quảng Ninh</v>
      </c>
      <c r="H150" s="91" t="s">
        <v>319</v>
      </c>
      <c r="I150" s="92" t="s">
        <v>893</v>
      </c>
      <c r="J150" s="92" t="s">
        <v>1739</v>
      </c>
      <c r="K150" s="92"/>
    </row>
    <row r="151" spans="1:11">
      <c r="A151" s="91">
        <v>150</v>
      </c>
      <c r="B151" s="91" t="str">
        <f t="shared" si="4"/>
        <v>Xã Đường Hoa, Huyện Hải Hà, Tỉnh Quảng Ninh</v>
      </c>
      <c r="C151" s="91" t="s">
        <v>320</v>
      </c>
      <c r="D151" s="92" t="s">
        <v>893</v>
      </c>
      <c r="E151" s="92" t="s">
        <v>1762</v>
      </c>
      <c r="F151" s="92" t="s">
        <v>1739</v>
      </c>
      <c r="G151" s="92" t="str">
        <f t="shared" si="5"/>
        <v>Xã Đường Hoa, Tỉnh Quảng Ninh</v>
      </c>
      <c r="H151" s="91" t="s">
        <v>319</v>
      </c>
      <c r="I151" s="92" t="s">
        <v>893</v>
      </c>
      <c r="J151" s="92" t="s">
        <v>1739</v>
      </c>
      <c r="K151" s="92"/>
    </row>
    <row r="152" spans="1:11">
      <c r="A152" s="91">
        <v>151</v>
      </c>
      <c r="B152" s="91" t="str">
        <f t="shared" si="4"/>
        <v>Xã Cái Chiên, Huyện Hải Hà, Tỉnh Quảng Ninh</v>
      </c>
      <c r="C152" s="91" t="s">
        <v>322</v>
      </c>
      <c r="D152" s="92" t="s">
        <v>895</v>
      </c>
      <c r="E152" s="92" t="s">
        <v>1762</v>
      </c>
      <c r="F152" s="92" t="s">
        <v>1739</v>
      </c>
      <c r="G152" s="92" t="str">
        <f t="shared" si="5"/>
        <v>Xã Cái Chiên, Tỉnh Quảng Ninh</v>
      </c>
      <c r="H152" s="91" t="s">
        <v>322</v>
      </c>
      <c r="I152" s="92" t="s">
        <v>895</v>
      </c>
      <c r="J152" s="92" t="s">
        <v>1739</v>
      </c>
      <c r="K152" s="92"/>
    </row>
    <row r="153" spans="1:11">
      <c r="A153" s="91">
        <v>152</v>
      </c>
      <c r="B153" s="91" t="str">
        <f t="shared" si="4"/>
        <v>Thị trấn Ba Chẽ, Huyện Ba Chẽ, Tỉnh Quảng Ninh</v>
      </c>
      <c r="C153" s="91" t="s">
        <v>323</v>
      </c>
      <c r="D153" s="92" t="s">
        <v>896</v>
      </c>
      <c r="E153" s="92" t="s">
        <v>1764</v>
      </c>
      <c r="F153" s="92" t="s">
        <v>1739</v>
      </c>
      <c r="G153" s="92" t="str">
        <f t="shared" si="5"/>
        <v>Xã Ba Chẽ, Tỉnh Quảng Ninh</v>
      </c>
      <c r="H153" s="91" t="s">
        <v>323</v>
      </c>
      <c r="I153" s="92" t="s">
        <v>1765</v>
      </c>
      <c r="J153" s="92" t="s">
        <v>1739</v>
      </c>
      <c r="K153" s="92"/>
    </row>
    <row r="154" spans="1:11">
      <c r="A154" s="91">
        <v>153</v>
      </c>
      <c r="B154" s="91" t="str">
        <f t="shared" si="4"/>
        <v>Xã Thanh Sơn, Huyện Ba Chẽ, Tỉnh Quảng Ninh</v>
      </c>
      <c r="C154" s="91" t="s">
        <v>324</v>
      </c>
      <c r="D154" s="92" t="s">
        <v>801</v>
      </c>
      <c r="E154" s="92" t="s">
        <v>1764</v>
      </c>
      <c r="F154" s="92" t="s">
        <v>1739</v>
      </c>
      <c r="G154" s="92" t="str">
        <f t="shared" si="5"/>
        <v>Xã Ba Chẽ, Tỉnh Quảng Ninh</v>
      </c>
      <c r="H154" s="91" t="s">
        <v>323</v>
      </c>
      <c r="I154" s="92" t="s">
        <v>1765</v>
      </c>
      <c r="J154" s="92" t="s">
        <v>1739</v>
      </c>
      <c r="K154" s="92"/>
    </row>
    <row r="155" spans="1:11">
      <c r="A155" s="91">
        <v>154</v>
      </c>
      <c r="B155" s="91" t="str">
        <f t="shared" si="4"/>
        <v>Xã Nam Sơn, Huyện Ba Chẽ, Tỉnh Quảng Ninh</v>
      </c>
      <c r="C155" s="91" t="s">
        <v>327</v>
      </c>
      <c r="D155" s="92" t="s">
        <v>780</v>
      </c>
      <c r="E155" s="92" t="s">
        <v>1764</v>
      </c>
      <c r="F155" s="92" t="s">
        <v>1739</v>
      </c>
      <c r="G155" s="92" t="str">
        <f t="shared" si="5"/>
        <v>Xã Ba Chẽ, Tỉnh Quảng Ninh</v>
      </c>
      <c r="H155" s="91" t="s">
        <v>323</v>
      </c>
      <c r="I155" s="92" t="s">
        <v>1765</v>
      </c>
      <c r="J155" s="92" t="s">
        <v>1739</v>
      </c>
      <c r="K155" s="92"/>
    </row>
    <row r="156" spans="1:11">
      <c r="A156" s="91">
        <v>155</v>
      </c>
      <c r="B156" s="91" t="str">
        <f t="shared" si="4"/>
        <v>Xã Đồn Đạc, Huyện Ba Chẽ, Tỉnh Quảng Ninh</v>
      </c>
      <c r="C156" s="91" t="s">
        <v>329</v>
      </c>
      <c r="D156" s="92" t="s">
        <v>898</v>
      </c>
      <c r="E156" s="92" t="s">
        <v>1764</v>
      </c>
      <c r="F156" s="92" t="s">
        <v>1739</v>
      </c>
      <c r="G156" s="92" t="str">
        <f t="shared" si="5"/>
        <v>Xã Ba Chẽ, Tỉnh Quảng Ninh</v>
      </c>
      <c r="H156" s="91" t="s">
        <v>323</v>
      </c>
      <c r="I156" s="92" t="s">
        <v>1765</v>
      </c>
      <c r="J156" s="92" t="s">
        <v>1739</v>
      </c>
      <c r="K156" s="92"/>
    </row>
    <row r="157" spans="1:11">
      <c r="A157" s="91">
        <v>156</v>
      </c>
      <c r="B157" s="91" t="str">
        <f t="shared" si="4"/>
        <v>Xã Hải Lạng, Huyện Tiên Yên, Tỉnh Quảng Ninh</v>
      </c>
      <c r="C157" s="91" t="s">
        <v>300</v>
      </c>
      <c r="D157" s="92" t="s">
        <v>875</v>
      </c>
      <c r="E157" s="92" t="s">
        <v>1758</v>
      </c>
      <c r="F157" s="92" t="s">
        <v>1739</v>
      </c>
      <c r="G157" s="92" t="str">
        <f t="shared" si="5"/>
        <v>Xã Ba Chẽ, Tỉnh Quảng Ninh</v>
      </c>
      <c r="H157" s="91" t="s">
        <v>323</v>
      </c>
      <c r="I157" s="92" t="s">
        <v>1765</v>
      </c>
      <c r="J157" s="92" t="s">
        <v>1739</v>
      </c>
      <c r="K157" s="92"/>
    </row>
    <row r="158" spans="1:11">
      <c r="A158" s="91">
        <v>157</v>
      </c>
      <c r="B158" s="91" t="str">
        <f t="shared" si="4"/>
        <v>Xã Thanh Lâm, Huyện Ba Chẽ, Tỉnh Quảng Ninh</v>
      </c>
      <c r="C158" s="91" t="s">
        <v>325</v>
      </c>
      <c r="D158" s="92" t="s">
        <v>782</v>
      </c>
      <c r="E158" s="92" t="s">
        <v>1764</v>
      </c>
      <c r="F158" s="92" t="s">
        <v>1739</v>
      </c>
      <c r="G158" s="92" t="str">
        <f t="shared" si="5"/>
        <v>Xã Kỳ Thượng, Tỉnh Quảng Ninh</v>
      </c>
      <c r="H158" s="91" t="s">
        <v>326</v>
      </c>
      <c r="I158" s="92" t="s">
        <v>820</v>
      </c>
      <c r="J158" s="92" t="s">
        <v>1739</v>
      </c>
      <c r="K158" s="92"/>
    </row>
    <row r="159" spans="1:11">
      <c r="A159" s="91">
        <v>158</v>
      </c>
      <c r="B159" s="91" t="str">
        <f t="shared" si="4"/>
        <v>Xã Đạp Thanh, Huyện Ba Chẽ, Tỉnh Quảng Ninh</v>
      </c>
      <c r="C159" s="91" t="s">
        <v>326</v>
      </c>
      <c r="D159" s="92" t="s">
        <v>897</v>
      </c>
      <c r="E159" s="92" t="s">
        <v>1764</v>
      </c>
      <c r="F159" s="92" t="s">
        <v>1739</v>
      </c>
      <c r="G159" s="92" t="str">
        <f t="shared" si="5"/>
        <v>Xã Kỳ Thượng, Tỉnh Quảng Ninh</v>
      </c>
      <c r="H159" s="91" t="s">
        <v>326</v>
      </c>
      <c r="I159" s="92" t="s">
        <v>820</v>
      </c>
      <c r="J159" s="92" t="s">
        <v>1739</v>
      </c>
      <c r="K159" s="92"/>
    </row>
    <row r="160" spans="1:11">
      <c r="A160" s="91">
        <v>159</v>
      </c>
      <c r="B160" s="91" t="str">
        <f t="shared" si="4"/>
        <v>Xã Kỳ Thượng, Thành phố Hạ Long, Tỉnh Quảng Ninh</v>
      </c>
      <c r="C160" s="91" t="s">
        <v>232</v>
      </c>
      <c r="D160" s="92" t="s">
        <v>820</v>
      </c>
      <c r="E160" s="92" t="s">
        <v>1738</v>
      </c>
      <c r="F160" s="92" t="s">
        <v>1739</v>
      </c>
      <c r="G160" s="92" t="str">
        <f t="shared" si="5"/>
        <v>Xã Kỳ Thượng, Tỉnh Quảng Ninh</v>
      </c>
      <c r="H160" s="91" t="s">
        <v>326</v>
      </c>
      <c r="I160" s="92" t="s">
        <v>820</v>
      </c>
      <c r="J160" s="92" t="s">
        <v>1739</v>
      </c>
      <c r="K160" s="92"/>
    </row>
    <row r="161" spans="1:11">
      <c r="A161" s="91">
        <v>160</v>
      </c>
      <c r="B161" s="91" t="str">
        <f t="shared" si="4"/>
        <v>Xã Lương Minh, Huyện Ba Chẽ, Tỉnh Quảng Ninh</v>
      </c>
      <c r="C161" s="91" t="s">
        <v>328</v>
      </c>
      <c r="D161" s="92" t="s">
        <v>1766</v>
      </c>
      <c r="E161" s="92" t="s">
        <v>1764</v>
      </c>
      <c r="F161" s="92" t="s">
        <v>1739</v>
      </c>
      <c r="G161" s="92" t="str">
        <f t="shared" si="5"/>
        <v>Xã Lương Minh, Tỉnh Quảng Ninh</v>
      </c>
      <c r="H161" s="91" t="s">
        <v>328</v>
      </c>
      <c r="I161" s="92" t="s">
        <v>1766</v>
      </c>
      <c r="J161" s="92" t="s">
        <v>1739</v>
      </c>
      <c r="K161" s="92"/>
    </row>
    <row r="162" spans="1:11">
      <c r="A162" s="91">
        <v>161</v>
      </c>
      <c r="B162" s="91" t="str">
        <f t="shared" si="4"/>
        <v>Xã Đồng Sơn, Thành phố Hạ Long, Tỉnh Quảng Ninh</v>
      </c>
      <c r="C162" s="91" t="s">
        <v>233</v>
      </c>
      <c r="D162" s="92" t="s">
        <v>821</v>
      </c>
      <c r="E162" s="92" t="s">
        <v>1738</v>
      </c>
      <c r="F162" s="92" t="s">
        <v>1739</v>
      </c>
      <c r="G162" s="92" t="str">
        <f t="shared" si="5"/>
        <v>Xã Lương Minh, Tỉnh Quảng Ninh</v>
      </c>
      <c r="H162" s="91" t="s">
        <v>328</v>
      </c>
      <c r="I162" s="92" t="s">
        <v>1766</v>
      </c>
      <c r="J162" s="92" t="s">
        <v>1739</v>
      </c>
      <c r="K162" s="92"/>
    </row>
    <row r="163" spans="1:11">
      <c r="A163" s="91">
        <v>162</v>
      </c>
      <c r="B163" s="91" t="str">
        <f t="shared" si="4"/>
        <v>Xã Tân Dân, Thành phố Hạ Long, Tỉnh Quảng Ninh</v>
      </c>
      <c r="C163" s="91" t="s">
        <v>234</v>
      </c>
      <c r="D163" s="92" t="s">
        <v>781</v>
      </c>
      <c r="E163" s="92" t="s">
        <v>1738</v>
      </c>
      <c r="F163" s="92" t="s">
        <v>1739</v>
      </c>
      <c r="G163" s="92" t="str">
        <f t="shared" si="5"/>
        <v>Xã Quảng La, Tỉnh Quảng Ninh</v>
      </c>
      <c r="H163" s="91" t="s">
        <v>239</v>
      </c>
      <c r="I163" s="92" t="s">
        <v>824</v>
      </c>
      <c r="J163" s="92" t="s">
        <v>1739</v>
      </c>
      <c r="K163" s="92"/>
    </row>
    <row r="164" spans="1:11">
      <c r="A164" s="91">
        <v>163</v>
      </c>
      <c r="B164" s="91" t="str">
        <f t="shared" si="4"/>
        <v>Xã Dân Chủ, Thành phố Hạ Long, Tỉnh Quảng Ninh</v>
      </c>
      <c r="C164" s="91" t="s">
        <v>238</v>
      </c>
      <c r="D164" s="92" t="s">
        <v>795</v>
      </c>
      <c r="E164" s="92" t="s">
        <v>1738</v>
      </c>
      <c r="F164" s="92" t="s">
        <v>1739</v>
      </c>
      <c r="G164" s="92" t="str">
        <f t="shared" si="5"/>
        <v>Xã Quảng La, Tỉnh Quảng Ninh</v>
      </c>
      <c r="H164" s="91" t="s">
        <v>239</v>
      </c>
      <c r="I164" s="92" t="s">
        <v>824</v>
      </c>
      <c r="J164" s="92" t="s">
        <v>1739</v>
      </c>
      <c r="K164" s="92"/>
    </row>
    <row r="165" spans="1:11">
      <c r="A165" s="91">
        <v>164</v>
      </c>
      <c r="B165" s="91" t="str">
        <f t="shared" si="4"/>
        <v>Xã Quảng La, Thành phố Hạ Long, Tỉnh Quảng Ninh</v>
      </c>
      <c r="C165" s="91" t="s">
        <v>239</v>
      </c>
      <c r="D165" s="92" t="s">
        <v>824</v>
      </c>
      <c r="E165" s="92" t="s">
        <v>1738</v>
      </c>
      <c r="F165" s="92" t="s">
        <v>1739</v>
      </c>
      <c r="G165" s="92" t="str">
        <f t="shared" si="5"/>
        <v>Xã Quảng La, Tỉnh Quảng Ninh</v>
      </c>
      <c r="H165" s="91" t="s">
        <v>239</v>
      </c>
      <c r="I165" s="92" t="s">
        <v>824</v>
      </c>
      <c r="J165" s="92" t="s">
        <v>1739</v>
      </c>
      <c r="K165" s="92"/>
    </row>
    <row r="166" spans="1:11">
      <c r="A166" s="91">
        <v>165</v>
      </c>
      <c r="B166" s="91" t="str">
        <f t="shared" si="4"/>
        <v>Xã Bằng Cả, Thành phố Hạ Long, Tỉnh Quảng Ninh</v>
      </c>
      <c r="C166" s="91" t="s">
        <v>240</v>
      </c>
      <c r="D166" s="92" t="s">
        <v>825</v>
      </c>
      <c r="E166" s="92" t="s">
        <v>1738</v>
      </c>
      <c r="F166" s="92" t="s">
        <v>1739</v>
      </c>
      <c r="G166" s="92" t="str">
        <f t="shared" si="5"/>
        <v>Xã Quảng La, Tỉnh Quảng Ninh</v>
      </c>
      <c r="H166" s="91" t="s">
        <v>239</v>
      </c>
      <c r="I166" s="92" t="s">
        <v>824</v>
      </c>
      <c r="J166" s="92" t="s">
        <v>1739</v>
      </c>
      <c r="K166" s="92"/>
    </row>
    <row r="167" spans="1:11">
      <c r="A167" s="91">
        <v>166</v>
      </c>
      <c r="B167" s="91" t="str">
        <f t="shared" si="4"/>
        <v>Xã Đồng Lâm, Thành phố Hạ Long, Tỉnh Quảng Ninh</v>
      </c>
      <c r="C167" s="91" t="s">
        <v>235</v>
      </c>
      <c r="D167" s="92" t="s">
        <v>822</v>
      </c>
      <c r="E167" s="92" t="s">
        <v>1738</v>
      </c>
      <c r="F167" s="92" t="s">
        <v>1739</v>
      </c>
      <c r="G167" s="92" t="str">
        <f t="shared" si="5"/>
        <v>Xã Thống Nhất, Tỉnh Quảng Ninh</v>
      </c>
      <c r="H167" s="91" t="s">
        <v>241</v>
      </c>
      <c r="I167" s="92" t="s">
        <v>790</v>
      </c>
      <c r="J167" s="92" t="s">
        <v>1739</v>
      </c>
      <c r="K167" s="92"/>
    </row>
    <row r="168" spans="1:11">
      <c r="A168" s="91">
        <v>167</v>
      </c>
      <c r="B168" s="91" t="str">
        <f t="shared" si="4"/>
        <v>Xã Hòa Bình, Thành phố Hạ Long, Tỉnh Quảng Ninh</v>
      </c>
      <c r="C168" s="91" t="s">
        <v>236</v>
      </c>
      <c r="D168" s="92" t="s">
        <v>787</v>
      </c>
      <c r="E168" s="92" t="s">
        <v>1738</v>
      </c>
      <c r="F168" s="92" t="s">
        <v>1739</v>
      </c>
      <c r="G168" s="92" t="str">
        <f t="shared" si="5"/>
        <v>Xã Thống Nhất, Tỉnh Quảng Ninh</v>
      </c>
      <c r="H168" s="91" t="s">
        <v>241</v>
      </c>
      <c r="I168" s="92" t="s">
        <v>790</v>
      </c>
      <c r="J168" s="92" t="s">
        <v>1739</v>
      </c>
      <c r="K168" s="92"/>
    </row>
    <row r="169" spans="1:11">
      <c r="A169" s="91">
        <v>168</v>
      </c>
      <c r="B169" s="91" t="str">
        <f t="shared" si="4"/>
        <v>Xã Vũ Oai, Thành phố Hạ Long, Tỉnh Quảng Ninh</v>
      </c>
      <c r="C169" s="91" t="s">
        <v>237</v>
      </c>
      <c r="D169" s="92" t="s">
        <v>823</v>
      </c>
      <c r="E169" s="92" t="s">
        <v>1738</v>
      </c>
      <c r="F169" s="92" t="s">
        <v>1739</v>
      </c>
      <c r="G169" s="92" t="str">
        <f t="shared" si="5"/>
        <v>Xã Thống Nhất, Tỉnh Quảng Ninh</v>
      </c>
      <c r="H169" s="91" t="s">
        <v>241</v>
      </c>
      <c r="I169" s="92" t="s">
        <v>790</v>
      </c>
      <c r="J169" s="92" t="s">
        <v>1739</v>
      </c>
      <c r="K169" s="92"/>
    </row>
    <row r="170" spans="1:11">
      <c r="A170" s="91">
        <v>169</v>
      </c>
      <c r="B170" s="91" t="str">
        <f t="shared" si="4"/>
        <v>Xã Thống Nhất, Thành phố Hạ Long, Tỉnh Quảng Ninh</v>
      </c>
      <c r="C170" s="91" t="s">
        <v>241</v>
      </c>
      <c r="D170" s="92" t="s">
        <v>790</v>
      </c>
      <c r="E170" s="92" t="s">
        <v>1738</v>
      </c>
      <c r="F170" s="92" t="s">
        <v>1739</v>
      </c>
      <c r="G170" s="92" t="str">
        <f t="shared" si="5"/>
        <v>Xã Thống Nhất, Tỉnh Quảng Ninh</v>
      </c>
      <c r="H170" s="91" t="s">
        <v>241</v>
      </c>
      <c r="I170" s="92" t="s">
        <v>790</v>
      </c>
      <c r="J170" s="92" t="s">
        <v>1739</v>
      </c>
      <c r="K170" s="92"/>
    </row>
    <row r="171" spans="1:11">
      <c r="A171" s="91">
        <v>170</v>
      </c>
      <c r="B171" s="91" t="str">
        <f t="shared" si="4"/>
        <v>Thị trấn Cái Rồng, Huyện Vân Đồn, Tỉnh Quảng Ninh</v>
      </c>
      <c r="C171" s="91" t="s">
        <v>330</v>
      </c>
      <c r="D171" s="92" t="s">
        <v>899</v>
      </c>
      <c r="E171" s="92" t="s">
        <v>1767</v>
      </c>
      <c r="F171" s="92" t="s">
        <v>1739</v>
      </c>
      <c r="G171" s="92" t="str">
        <f t="shared" si="5"/>
        <v>Đặc khu Vân Đồn, Tỉnh Quảng Ninh</v>
      </c>
      <c r="H171" s="91" t="s">
        <v>330</v>
      </c>
      <c r="I171" s="92" t="s">
        <v>1768</v>
      </c>
      <c r="J171" s="92" t="s">
        <v>1739</v>
      </c>
      <c r="K171" s="92"/>
    </row>
    <row r="172" spans="1:11">
      <c r="A172" s="91">
        <v>171</v>
      </c>
      <c r="B172" s="91" t="str">
        <f t="shared" si="4"/>
        <v>Xã Đài Xuyên, Huyện Vân Đồn, Tỉnh Quảng Ninh</v>
      </c>
      <c r="C172" s="91" t="s">
        <v>331</v>
      </c>
      <c r="D172" s="92" t="s">
        <v>900</v>
      </c>
      <c r="E172" s="92" t="s">
        <v>1767</v>
      </c>
      <c r="F172" s="92" t="s">
        <v>1739</v>
      </c>
      <c r="G172" s="92" t="str">
        <f t="shared" si="5"/>
        <v>Đặc khu Vân Đồn, Tỉnh Quảng Ninh</v>
      </c>
      <c r="H172" s="91" t="s">
        <v>330</v>
      </c>
      <c r="I172" s="92" t="s">
        <v>1768</v>
      </c>
      <c r="J172" s="92" t="s">
        <v>1739</v>
      </c>
      <c r="K172" s="92"/>
    </row>
    <row r="173" spans="1:11">
      <c r="A173" s="91">
        <v>172</v>
      </c>
      <c r="B173" s="91" t="str">
        <f t="shared" si="4"/>
        <v>Xã Bình Dân, Huyện Vân Đồn, Tỉnh Quảng Ninh</v>
      </c>
      <c r="C173" s="91" t="s">
        <v>332</v>
      </c>
      <c r="D173" s="92" t="s">
        <v>901</v>
      </c>
      <c r="E173" s="92" t="s">
        <v>1767</v>
      </c>
      <c r="F173" s="92" t="s">
        <v>1739</v>
      </c>
      <c r="G173" s="92" t="str">
        <f t="shared" si="5"/>
        <v>Đặc khu Vân Đồn, Tỉnh Quảng Ninh</v>
      </c>
      <c r="H173" s="91" t="s">
        <v>330</v>
      </c>
      <c r="I173" s="92" t="s">
        <v>1768</v>
      </c>
      <c r="J173" s="92" t="s">
        <v>1739</v>
      </c>
      <c r="K173" s="92"/>
    </row>
    <row r="174" spans="1:11">
      <c r="A174" s="91">
        <v>173</v>
      </c>
      <c r="B174" s="91" t="str">
        <f t="shared" si="4"/>
        <v>Xã Vạn Yên, Huyện Vân Đồn, Tỉnh Quảng Ninh</v>
      </c>
      <c r="C174" s="91" t="s">
        <v>333</v>
      </c>
      <c r="D174" s="92" t="s">
        <v>783</v>
      </c>
      <c r="E174" s="92" t="s">
        <v>1767</v>
      </c>
      <c r="F174" s="92" t="s">
        <v>1739</v>
      </c>
      <c r="G174" s="92" t="str">
        <f t="shared" si="5"/>
        <v>Đặc khu Vân Đồn, Tỉnh Quảng Ninh</v>
      </c>
      <c r="H174" s="91" t="s">
        <v>330</v>
      </c>
      <c r="I174" s="92" t="s">
        <v>1768</v>
      </c>
      <c r="J174" s="92" t="s">
        <v>1739</v>
      </c>
      <c r="K174" s="92"/>
    </row>
    <row r="175" spans="1:11">
      <c r="A175" s="91">
        <v>174</v>
      </c>
      <c r="B175" s="91" t="str">
        <f t="shared" si="4"/>
        <v>Xã Minh Châu, Huyện Vân Đồn, Tỉnh Quảng Ninh</v>
      </c>
      <c r="C175" s="91" t="s">
        <v>334</v>
      </c>
      <c r="D175" s="92" t="s">
        <v>785</v>
      </c>
      <c r="E175" s="92" t="s">
        <v>1767</v>
      </c>
      <c r="F175" s="92" t="s">
        <v>1739</v>
      </c>
      <c r="G175" s="92" t="str">
        <f t="shared" si="5"/>
        <v>Đặc khu Vân Đồn, Tỉnh Quảng Ninh</v>
      </c>
      <c r="H175" s="91" t="s">
        <v>330</v>
      </c>
      <c r="I175" s="92" t="s">
        <v>1768</v>
      </c>
      <c r="J175" s="92" t="s">
        <v>1739</v>
      </c>
      <c r="K175" s="92"/>
    </row>
    <row r="176" spans="1:11">
      <c r="A176" s="91">
        <v>175</v>
      </c>
      <c r="B176" s="91" t="str">
        <f t="shared" si="4"/>
        <v>Xã Đoàn Kết, Huyện Vân Đồn, Tỉnh Quảng Ninh</v>
      </c>
      <c r="C176" s="91" t="s">
        <v>335</v>
      </c>
      <c r="D176" s="92" t="s">
        <v>800</v>
      </c>
      <c r="E176" s="92" t="s">
        <v>1767</v>
      </c>
      <c r="F176" s="92" t="s">
        <v>1739</v>
      </c>
      <c r="G176" s="92" t="str">
        <f t="shared" si="5"/>
        <v>Đặc khu Vân Đồn, Tỉnh Quảng Ninh</v>
      </c>
      <c r="H176" s="91" t="s">
        <v>330</v>
      </c>
      <c r="I176" s="92" t="s">
        <v>1768</v>
      </c>
      <c r="J176" s="92" t="s">
        <v>1739</v>
      </c>
      <c r="K176" s="92"/>
    </row>
    <row r="177" spans="1:11">
      <c r="A177" s="91">
        <v>176</v>
      </c>
      <c r="B177" s="91" t="str">
        <f t="shared" si="4"/>
        <v>Xã Hạ Long, Huyện Vân Đồn, Tỉnh Quảng Ninh</v>
      </c>
      <c r="C177" s="91" t="s">
        <v>336</v>
      </c>
      <c r="D177" s="92" t="s">
        <v>902</v>
      </c>
      <c r="E177" s="92" t="s">
        <v>1767</v>
      </c>
      <c r="F177" s="92" t="s">
        <v>1739</v>
      </c>
      <c r="G177" s="92" t="str">
        <f t="shared" si="5"/>
        <v>Đặc khu Vân Đồn, Tỉnh Quảng Ninh</v>
      </c>
      <c r="H177" s="91" t="s">
        <v>330</v>
      </c>
      <c r="I177" s="92" t="s">
        <v>1768</v>
      </c>
      <c r="J177" s="92" t="s">
        <v>1739</v>
      </c>
      <c r="K177" s="92"/>
    </row>
    <row r="178" spans="1:11">
      <c r="A178" s="91">
        <v>177</v>
      </c>
      <c r="B178" s="91" t="str">
        <f t="shared" si="4"/>
        <v>Xã Đông Xá, Huyện Vân Đồn, Tỉnh Quảng Ninh</v>
      </c>
      <c r="C178" s="91" t="s">
        <v>337</v>
      </c>
      <c r="D178" s="92" t="s">
        <v>903</v>
      </c>
      <c r="E178" s="92" t="s">
        <v>1767</v>
      </c>
      <c r="F178" s="92" t="s">
        <v>1739</v>
      </c>
      <c r="G178" s="92" t="str">
        <f t="shared" si="5"/>
        <v>Đặc khu Vân Đồn, Tỉnh Quảng Ninh</v>
      </c>
      <c r="H178" s="91" t="s">
        <v>330</v>
      </c>
      <c r="I178" s="92" t="s">
        <v>1768</v>
      </c>
      <c r="J178" s="92" t="s">
        <v>1739</v>
      </c>
      <c r="K178" s="92"/>
    </row>
    <row r="179" spans="1:11">
      <c r="A179" s="91">
        <v>178</v>
      </c>
      <c r="B179" s="91" t="str">
        <f t="shared" si="4"/>
        <v>Xã Bản Sen, Huyện Vân Đồn, Tỉnh Quảng Ninh</v>
      </c>
      <c r="C179" s="91" t="s">
        <v>338</v>
      </c>
      <c r="D179" s="92" t="s">
        <v>797</v>
      </c>
      <c r="E179" s="92" t="s">
        <v>1767</v>
      </c>
      <c r="F179" s="92" t="s">
        <v>1739</v>
      </c>
      <c r="G179" s="92" t="str">
        <f t="shared" si="5"/>
        <v>Đặc khu Vân Đồn, Tỉnh Quảng Ninh</v>
      </c>
      <c r="H179" s="91" t="s">
        <v>330</v>
      </c>
      <c r="I179" s="92" t="s">
        <v>1768</v>
      </c>
      <c r="J179" s="92" t="s">
        <v>1739</v>
      </c>
      <c r="K179" s="92"/>
    </row>
    <row r="180" spans="1:11">
      <c r="A180" s="91">
        <v>179</v>
      </c>
      <c r="B180" s="91" t="str">
        <f t="shared" si="4"/>
        <v>Xã Thắng Lợi, Huyện Vân Đồn, Tỉnh Quảng Ninh</v>
      </c>
      <c r="C180" s="91" t="s">
        <v>339</v>
      </c>
      <c r="D180" s="92" t="s">
        <v>789</v>
      </c>
      <c r="E180" s="92" t="s">
        <v>1767</v>
      </c>
      <c r="F180" s="92" t="s">
        <v>1739</v>
      </c>
      <c r="G180" s="92" t="str">
        <f t="shared" si="5"/>
        <v>Đặc khu Vân Đồn, Tỉnh Quảng Ninh</v>
      </c>
      <c r="H180" s="91" t="s">
        <v>330</v>
      </c>
      <c r="I180" s="92" t="s">
        <v>1768</v>
      </c>
      <c r="J180" s="92" t="s">
        <v>1739</v>
      </c>
      <c r="K180" s="92"/>
    </row>
    <row r="181" spans="1:11">
      <c r="A181" s="91">
        <v>180</v>
      </c>
      <c r="B181" s="91" t="str">
        <f t="shared" si="4"/>
        <v>Xã Quan Lạn, Huyện Vân Đồn, Tỉnh Quảng Ninh</v>
      </c>
      <c r="C181" s="91" t="s">
        <v>340</v>
      </c>
      <c r="D181" s="92" t="s">
        <v>904</v>
      </c>
      <c r="E181" s="92" t="s">
        <v>1767</v>
      </c>
      <c r="F181" s="92" t="s">
        <v>1739</v>
      </c>
      <c r="G181" s="92" t="str">
        <f t="shared" si="5"/>
        <v>Đặc khu Vân Đồn, Tỉnh Quảng Ninh</v>
      </c>
      <c r="H181" s="91" t="s">
        <v>330</v>
      </c>
      <c r="I181" s="92" t="s">
        <v>1768</v>
      </c>
      <c r="J181" s="92" t="s">
        <v>1739</v>
      </c>
      <c r="K181" s="92"/>
    </row>
    <row r="182" spans="1:11">
      <c r="A182" s="91">
        <v>181</v>
      </c>
      <c r="B182" s="91" t="str">
        <f t="shared" si="4"/>
        <v>Xã Ngọc Vừng, Huyện Vân Đồn, Tỉnh Quảng Ninh</v>
      </c>
      <c r="C182" s="91" t="s">
        <v>341</v>
      </c>
      <c r="D182" s="92" t="s">
        <v>905</v>
      </c>
      <c r="E182" s="92" t="s">
        <v>1767</v>
      </c>
      <c r="F182" s="92" t="s">
        <v>1739</v>
      </c>
      <c r="G182" s="92" t="str">
        <f t="shared" si="5"/>
        <v>Đặc khu Vân Đồn, Tỉnh Quảng Ninh</v>
      </c>
      <c r="H182" s="91" t="s">
        <v>330</v>
      </c>
      <c r="I182" s="92" t="s">
        <v>1768</v>
      </c>
      <c r="J182" s="92" t="s">
        <v>1739</v>
      </c>
      <c r="K182" s="92"/>
    </row>
    <row r="183" spans="1:11">
      <c r="A183" s="91">
        <v>182</v>
      </c>
      <c r="B183" s="91" t="str">
        <f t="shared" si="4"/>
        <v>Thị trấn Cô Tô, Huyện Cô Tô, Tỉnh Quảng Ninh</v>
      </c>
      <c r="C183" s="91" t="s">
        <v>380</v>
      </c>
      <c r="D183" s="92" t="s">
        <v>937</v>
      </c>
      <c r="E183" s="92" t="s">
        <v>1769</v>
      </c>
      <c r="F183" s="92" t="s">
        <v>1739</v>
      </c>
      <c r="G183" s="92" t="str">
        <f t="shared" si="5"/>
        <v>Đặc khu Cô Tô, Tỉnh Quảng Ninh</v>
      </c>
      <c r="H183" s="91" t="s">
        <v>380</v>
      </c>
      <c r="I183" s="92" t="s">
        <v>1770</v>
      </c>
      <c r="J183" s="92" t="s">
        <v>1739</v>
      </c>
      <c r="K183" s="92"/>
    </row>
    <row r="184" spans="1:11">
      <c r="A184" s="91">
        <v>183</v>
      </c>
      <c r="B184" s="91" t="str">
        <f t="shared" si="4"/>
        <v>Xã Đồng Tiến, Huyện Cô Tô, Tỉnh Quảng Ninh</v>
      </c>
      <c r="C184" s="91" t="s">
        <v>381</v>
      </c>
      <c r="D184" s="92" t="s">
        <v>791</v>
      </c>
      <c r="E184" s="92" t="s">
        <v>1769</v>
      </c>
      <c r="F184" s="92" t="s">
        <v>1739</v>
      </c>
      <c r="G184" s="92" t="str">
        <f t="shared" si="5"/>
        <v>Đặc khu Cô Tô, Tỉnh Quảng Ninh</v>
      </c>
      <c r="H184" s="91" t="s">
        <v>380</v>
      </c>
      <c r="I184" s="92" t="s">
        <v>1770</v>
      </c>
      <c r="J184" s="92" t="s">
        <v>1739</v>
      </c>
      <c r="K184" s="92"/>
    </row>
    <row r="185" spans="1:11">
      <c r="A185" s="91">
        <v>184</v>
      </c>
      <c r="B185" s="91" t="str">
        <f t="shared" si="4"/>
        <v>Xã Thanh Lân, Huyện Cô Tô, Tỉnh Quảng Ninh</v>
      </c>
      <c r="C185" s="91" t="s">
        <v>382</v>
      </c>
      <c r="D185" s="92" t="s">
        <v>938</v>
      </c>
      <c r="E185" s="92" t="s">
        <v>1769</v>
      </c>
      <c r="F185" s="92" t="s">
        <v>1739</v>
      </c>
      <c r="G185" s="92" t="str">
        <f t="shared" si="5"/>
        <v>Đặc khu Cô Tô, Tỉnh Quảng Ninh</v>
      </c>
      <c r="H185" s="91" t="s">
        <v>380</v>
      </c>
      <c r="I185" s="92" t="s">
        <v>1770</v>
      </c>
      <c r="J185" s="92" t="s">
        <v>1739</v>
      </c>
      <c r="K185" s="92"/>
    </row>
    <row r="186" spans="1:11">
      <c r="B186" s="90" t="s">
        <v>1781</v>
      </c>
      <c r="C186" s="90" t="s">
        <v>213</v>
      </c>
    </row>
    <row r="187" spans="1:11">
      <c r="B187" s="90" t="s">
        <v>1781</v>
      </c>
      <c r="C187" s="90" t="s">
        <v>213</v>
      </c>
    </row>
    <row r="188" spans="1:11">
      <c r="B188" s="90" t="s">
        <v>1782</v>
      </c>
      <c r="C188" s="90" t="s">
        <v>215</v>
      </c>
    </row>
    <row r="189" spans="1:11">
      <c r="B189" s="90" t="s">
        <v>1782</v>
      </c>
      <c r="C189" s="90" t="s">
        <v>215</v>
      </c>
    </row>
    <row r="190" spans="1:11">
      <c r="B190" s="90" t="s">
        <v>1783</v>
      </c>
      <c r="C190" s="90" t="s">
        <v>216</v>
      </c>
    </row>
    <row r="191" spans="1:11">
      <c r="B191" s="90" t="s">
        <v>1783</v>
      </c>
      <c r="C191" s="90" t="s">
        <v>216</v>
      </c>
    </row>
    <row r="192" spans="1:11">
      <c r="B192" s="90" t="s">
        <v>1783</v>
      </c>
      <c r="C192" s="90" t="s">
        <v>216</v>
      </c>
    </row>
    <row r="193" spans="2:3">
      <c r="B193" s="90" t="s">
        <v>1784</v>
      </c>
      <c r="C193" s="90" t="s">
        <v>220</v>
      </c>
    </row>
    <row r="194" spans="2:3">
      <c r="B194" s="90" t="s">
        <v>1784</v>
      </c>
      <c r="C194" s="90" t="s">
        <v>220</v>
      </c>
    </row>
    <row r="195" spans="2:3">
      <c r="B195" s="90" t="s">
        <v>1785</v>
      </c>
      <c r="C195" s="90" t="s">
        <v>221</v>
      </c>
    </row>
    <row r="196" spans="2:3">
      <c r="B196" s="90" t="s">
        <v>1785</v>
      </c>
      <c r="C196" s="90" t="s">
        <v>221</v>
      </c>
    </row>
    <row r="197" spans="2:3">
      <c r="B197" s="90" t="s">
        <v>1785</v>
      </c>
      <c r="C197" s="90" t="s">
        <v>221</v>
      </c>
    </row>
    <row r="198" spans="2:3">
      <c r="B198" s="90" t="s">
        <v>1786</v>
      </c>
      <c r="C198" s="90" t="s">
        <v>223</v>
      </c>
    </row>
    <row r="199" spans="2:3">
      <c r="B199" s="90" t="s">
        <v>1786</v>
      </c>
      <c r="C199" s="90" t="s">
        <v>223</v>
      </c>
    </row>
    <row r="200" spans="2:3">
      <c r="B200" s="90" t="s">
        <v>1786</v>
      </c>
      <c r="C200" s="90" t="s">
        <v>223</v>
      </c>
    </row>
    <row r="201" spans="2:3">
      <c r="B201" s="90" t="s">
        <v>1787</v>
      </c>
      <c r="C201" s="90" t="s">
        <v>224</v>
      </c>
    </row>
    <row r="202" spans="2:3">
      <c r="B202" s="90" t="s">
        <v>1787</v>
      </c>
      <c r="C202" s="90" t="s">
        <v>224</v>
      </c>
    </row>
    <row r="203" spans="2:3">
      <c r="B203" s="90" t="s">
        <v>1788</v>
      </c>
      <c r="C203" s="90" t="s">
        <v>230</v>
      </c>
    </row>
    <row r="204" spans="2:3">
      <c r="B204" s="90" t="s">
        <v>1788</v>
      </c>
      <c r="C204" s="90" t="s">
        <v>230</v>
      </c>
    </row>
    <row r="205" spans="2:3">
      <c r="B205" s="90" t="s">
        <v>1788</v>
      </c>
      <c r="C205" s="90" t="s">
        <v>230</v>
      </c>
    </row>
    <row r="206" spans="2:3">
      <c r="B206" s="90" t="s">
        <v>1789</v>
      </c>
      <c r="C206" s="90" t="s">
        <v>244</v>
      </c>
    </row>
    <row r="207" spans="2:3">
      <c r="B207" s="90" t="s">
        <v>1789</v>
      </c>
      <c r="C207" s="90" t="s">
        <v>244</v>
      </c>
    </row>
    <row r="208" spans="2:3">
      <c r="B208" s="90" t="s">
        <v>1789</v>
      </c>
      <c r="C208" s="90" t="s">
        <v>244</v>
      </c>
    </row>
    <row r="209" spans="2:3">
      <c r="B209" s="90" t="s">
        <v>1790</v>
      </c>
      <c r="C209" s="90" t="s">
        <v>245</v>
      </c>
    </row>
    <row r="210" spans="2:3">
      <c r="B210" s="90" t="s">
        <v>1790</v>
      </c>
      <c r="C210" s="90" t="s">
        <v>245</v>
      </c>
    </row>
    <row r="211" spans="2:3">
      <c r="B211" s="90" t="s">
        <v>1790</v>
      </c>
      <c r="C211" s="90" t="s">
        <v>245</v>
      </c>
    </row>
    <row r="212" spans="2:3">
      <c r="B212" s="90" t="s">
        <v>1790</v>
      </c>
      <c r="C212" s="90" t="s">
        <v>245</v>
      </c>
    </row>
    <row r="213" spans="2:3">
      <c r="B213" s="90" t="s">
        <v>1790</v>
      </c>
      <c r="C213" s="90" t="s">
        <v>245</v>
      </c>
    </row>
    <row r="214" spans="2:3">
      <c r="B214" s="90" t="s">
        <v>1791</v>
      </c>
      <c r="C214" s="90" t="s">
        <v>252</v>
      </c>
    </row>
    <row r="215" spans="2:3">
      <c r="B215" s="90" t="s">
        <v>1791</v>
      </c>
      <c r="C215" s="90" t="s">
        <v>252</v>
      </c>
    </row>
    <row r="216" spans="2:3">
      <c r="B216" s="90" t="s">
        <v>1792</v>
      </c>
      <c r="C216" s="90" t="s">
        <v>260</v>
      </c>
    </row>
    <row r="217" spans="2:3">
      <c r="B217" s="90" t="s">
        <v>1792</v>
      </c>
      <c r="C217" s="90" t="s">
        <v>260</v>
      </c>
    </row>
    <row r="218" spans="2:3">
      <c r="B218" s="90" t="s">
        <v>1793</v>
      </c>
      <c r="C218" s="90" t="s">
        <v>266</v>
      </c>
    </row>
    <row r="219" spans="2:3">
      <c r="B219" s="90" t="s">
        <v>1793</v>
      </c>
      <c r="C219" s="90" t="s">
        <v>266</v>
      </c>
    </row>
    <row r="220" spans="2:3">
      <c r="B220" s="90" t="s">
        <v>1793</v>
      </c>
      <c r="C220" s="90" t="s">
        <v>266</v>
      </c>
    </row>
    <row r="221" spans="2:3">
      <c r="B221" s="90" t="s">
        <v>1794</v>
      </c>
      <c r="C221" s="90" t="s">
        <v>267</v>
      </c>
    </row>
    <row r="222" spans="2:3">
      <c r="B222" s="90" t="s">
        <v>1794</v>
      </c>
      <c r="C222" s="90" t="s">
        <v>267</v>
      </c>
    </row>
    <row r="223" spans="2:3">
      <c r="B223" s="90" t="s">
        <v>1794</v>
      </c>
      <c r="C223" s="90" t="s">
        <v>267</v>
      </c>
    </row>
    <row r="224" spans="2:3">
      <c r="B224" s="90" t="s">
        <v>1794</v>
      </c>
      <c r="C224" s="90" t="s">
        <v>267</v>
      </c>
    </row>
    <row r="225" spans="2:3">
      <c r="B225" s="90" t="s">
        <v>1795</v>
      </c>
      <c r="C225" s="90" t="s">
        <v>271</v>
      </c>
    </row>
    <row r="226" spans="2:3">
      <c r="B226" s="90" t="s">
        <v>1795</v>
      </c>
      <c r="C226" s="90" t="s">
        <v>271</v>
      </c>
    </row>
    <row r="227" spans="2:3">
      <c r="B227" s="90" t="s">
        <v>1795</v>
      </c>
      <c r="C227" s="90" t="s">
        <v>271</v>
      </c>
    </row>
    <row r="228" spans="2:3">
      <c r="B228" s="90" t="s">
        <v>1795</v>
      </c>
      <c r="C228" s="90" t="s">
        <v>271</v>
      </c>
    </row>
    <row r="229" spans="2:3">
      <c r="B229" s="90" t="s">
        <v>1795</v>
      </c>
      <c r="C229" s="90" t="s">
        <v>271</v>
      </c>
    </row>
    <row r="230" spans="2:3">
      <c r="B230" s="90" t="s">
        <v>1796</v>
      </c>
      <c r="C230" s="90" t="s">
        <v>276</v>
      </c>
    </row>
    <row r="231" spans="2:3">
      <c r="B231" s="90" t="s">
        <v>1796</v>
      </c>
      <c r="C231" s="90" t="s">
        <v>276</v>
      </c>
    </row>
    <row r="232" spans="2:3">
      <c r="B232" s="90" t="s">
        <v>1796</v>
      </c>
      <c r="C232" s="90" t="s">
        <v>276</v>
      </c>
    </row>
    <row r="233" spans="2:3">
      <c r="B233" s="90" t="s">
        <v>1796</v>
      </c>
      <c r="C233" s="90" t="s">
        <v>276</v>
      </c>
    </row>
    <row r="234" spans="2:3">
      <c r="B234" s="90" t="s">
        <v>1797</v>
      </c>
      <c r="C234" s="90" t="s">
        <v>279</v>
      </c>
    </row>
    <row r="235" spans="2:3">
      <c r="B235" s="90" t="s">
        <v>1797</v>
      </c>
      <c r="C235" s="90" t="s">
        <v>279</v>
      </c>
    </row>
    <row r="236" spans="2:3">
      <c r="B236" s="90" t="s">
        <v>1797</v>
      </c>
      <c r="C236" s="90" t="s">
        <v>279</v>
      </c>
    </row>
    <row r="237" spans="2:3">
      <c r="B237" s="90" t="s">
        <v>1797</v>
      </c>
      <c r="C237" s="90" t="s">
        <v>279</v>
      </c>
    </row>
    <row r="238" spans="2:3">
      <c r="B238" s="90" t="s">
        <v>1798</v>
      </c>
      <c r="C238" s="90" t="s">
        <v>283</v>
      </c>
    </row>
    <row r="239" spans="2:3">
      <c r="B239" s="90" t="s">
        <v>1798</v>
      </c>
      <c r="C239" s="90" t="s">
        <v>283</v>
      </c>
    </row>
    <row r="240" spans="2:3">
      <c r="B240" s="90" t="s">
        <v>1798</v>
      </c>
      <c r="C240" s="90" t="s">
        <v>283</v>
      </c>
    </row>
    <row r="241" spans="2:3">
      <c r="B241" s="90" t="s">
        <v>1799</v>
      </c>
      <c r="C241" s="90" t="s">
        <v>231</v>
      </c>
    </row>
    <row r="242" spans="2:3">
      <c r="B242" s="90" t="s">
        <v>1799</v>
      </c>
      <c r="C242" s="90" t="s">
        <v>231</v>
      </c>
    </row>
    <row r="243" spans="2:3">
      <c r="B243" s="90" t="s">
        <v>1799</v>
      </c>
      <c r="C243" s="90" t="s">
        <v>231</v>
      </c>
    </row>
    <row r="244" spans="2:3">
      <c r="B244" s="90" t="s">
        <v>1799</v>
      </c>
      <c r="C244" s="90" t="s">
        <v>231</v>
      </c>
    </row>
    <row r="245" spans="2:3">
      <c r="B245" s="90" t="s">
        <v>1800</v>
      </c>
      <c r="C245" s="90" t="s">
        <v>342</v>
      </c>
    </row>
    <row r="246" spans="2:3">
      <c r="B246" s="90" t="s">
        <v>1800</v>
      </c>
      <c r="C246" s="90" t="s">
        <v>342</v>
      </c>
    </row>
    <row r="247" spans="2:3">
      <c r="B247" s="90" t="s">
        <v>1800</v>
      </c>
      <c r="C247" s="90" t="s">
        <v>342</v>
      </c>
    </row>
    <row r="248" spans="2:3">
      <c r="B248" s="90" t="s">
        <v>1800</v>
      </c>
      <c r="C248" s="90" t="s">
        <v>342</v>
      </c>
    </row>
    <row r="249" spans="2:3">
      <c r="B249" s="90" t="s">
        <v>1801</v>
      </c>
      <c r="C249" s="90" t="s">
        <v>345</v>
      </c>
    </row>
    <row r="250" spans="2:3">
      <c r="B250" s="90" t="s">
        <v>1801</v>
      </c>
      <c r="C250" s="90" t="s">
        <v>345</v>
      </c>
    </row>
    <row r="251" spans="2:3">
      <c r="B251" s="90" t="s">
        <v>1801</v>
      </c>
      <c r="C251" s="90" t="s">
        <v>345</v>
      </c>
    </row>
    <row r="252" spans="2:3">
      <c r="B252" s="90" t="s">
        <v>1802</v>
      </c>
      <c r="C252" s="90" t="s">
        <v>347</v>
      </c>
    </row>
    <row r="253" spans="2:3">
      <c r="B253" s="90" t="s">
        <v>1802</v>
      </c>
      <c r="C253" s="90" t="s">
        <v>347</v>
      </c>
    </row>
    <row r="254" spans="2:3">
      <c r="B254" s="90" t="s">
        <v>1802</v>
      </c>
      <c r="C254" s="90" t="s">
        <v>347</v>
      </c>
    </row>
    <row r="255" spans="2:3">
      <c r="B255" s="90" t="s">
        <v>1802</v>
      </c>
      <c r="C255" s="90" t="s">
        <v>347</v>
      </c>
    </row>
    <row r="256" spans="2:3">
      <c r="B256" s="90" t="s">
        <v>1803</v>
      </c>
      <c r="C256" s="90" t="s">
        <v>348</v>
      </c>
    </row>
    <row r="257" spans="2:3">
      <c r="B257" s="90" t="s">
        <v>1803</v>
      </c>
      <c r="C257" s="90" t="s">
        <v>348</v>
      </c>
    </row>
    <row r="258" spans="2:3">
      <c r="B258" s="90" t="s">
        <v>1803</v>
      </c>
      <c r="C258" s="90" t="s">
        <v>348</v>
      </c>
    </row>
    <row r="259" spans="2:3">
      <c r="B259" s="90" t="s">
        <v>1803</v>
      </c>
      <c r="C259" s="90" t="s">
        <v>348</v>
      </c>
    </row>
    <row r="260" spans="2:3">
      <c r="B260" s="90" t="s">
        <v>1803</v>
      </c>
      <c r="C260" s="90" t="s">
        <v>348</v>
      </c>
    </row>
    <row r="261" spans="2:3">
      <c r="B261" s="90" t="s">
        <v>1804</v>
      </c>
      <c r="C261" s="90" t="s">
        <v>355</v>
      </c>
    </row>
    <row r="262" spans="2:3">
      <c r="B262" s="90" t="s">
        <v>1804</v>
      </c>
      <c r="C262" s="90" t="s">
        <v>355</v>
      </c>
    </row>
    <row r="263" spans="2:3">
      <c r="B263" s="90" t="s">
        <v>1804</v>
      </c>
      <c r="C263" s="90" t="s">
        <v>355</v>
      </c>
    </row>
    <row r="264" spans="2:3">
      <c r="B264" s="90" t="s">
        <v>1804</v>
      </c>
      <c r="C264" s="90" t="s">
        <v>355</v>
      </c>
    </row>
    <row r="265" spans="2:3">
      <c r="B265" s="90" t="s">
        <v>1805</v>
      </c>
      <c r="C265" s="90" t="s">
        <v>361</v>
      </c>
    </row>
    <row r="266" spans="2:3">
      <c r="B266" s="90" t="s">
        <v>1805</v>
      </c>
      <c r="C266" s="90" t="s">
        <v>361</v>
      </c>
    </row>
    <row r="267" spans="2:3">
      <c r="B267" s="90" t="s">
        <v>1805</v>
      </c>
      <c r="C267" s="90" t="s">
        <v>361</v>
      </c>
    </row>
    <row r="268" spans="2:3">
      <c r="B268" s="90" t="s">
        <v>1806</v>
      </c>
      <c r="C268" s="90" t="s">
        <v>362</v>
      </c>
    </row>
    <row r="269" spans="2:3">
      <c r="B269" s="90" t="s">
        <v>1806</v>
      </c>
      <c r="C269" s="90" t="s">
        <v>362</v>
      </c>
    </row>
    <row r="270" spans="2:3">
      <c r="B270" s="90" t="s">
        <v>1807</v>
      </c>
      <c r="C270" s="90" t="s">
        <v>365</v>
      </c>
    </row>
    <row r="271" spans="2:3">
      <c r="B271" s="90" t="s">
        <v>1807</v>
      </c>
      <c r="C271" s="90" t="s">
        <v>365</v>
      </c>
    </row>
    <row r="272" spans="2:3">
      <c r="B272" s="90" t="s">
        <v>1807</v>
      </c>
      <c r="C272" s="90" t="s">
        <v>365</v>
      </c>
    </row>
    <row r="273" spans="2:3">
      <c r="B273" s="90" t="s">
        <v>1808</v>
      </c>
      <c r="C273" s="90" t="s">
        <v>372</v>
      </c>
    </row>
    <row r="274" spans="2:3">
      <c r="B274" s="90" t="s">
        <v>1808</v>
      </c>
      <c r="C274" s="90" t="s">
        <v>372</v>
      </c>
    </row>
    <row r="275" spans="2:3">
      <c r="B275" s="90" t="s">
        <v>1808</v>
      </c>
      <c r="C275" s="90" t="s">
        <v>372</v>
      </c>
    </row>
    <row r="276" spans="2:3">
      <c r="B276" s="90" t="s">
        <v>1808</v>
      </c>
      <c r="C276" s="90" t="s">
        <v>372</v>
      </c>
    </row>
    <row r="277" spans="2:3">
      <c r="B277" s="90" t="s">
        <v>1809</v>
      </c>
      <c r="C277" s="90" t="s">
        <v>376</v>
      </c>
    </row>
    <row r="278" spans="2:3">
      <c r="B278" s="90" t="s">
        <v>1809</v>
      </c>
      <c r="C278" s="90" t="s">
        <v>376</v>
      </c>
    </row>
    <row r="279" spans="2:3">
      <c r="B279" s="90" t="s">
        <v>1809</v>
      </c>
      <c r="C279" s="90" t="s">
        <v>376</v>
      </c>
    </row>
    <row r="280" spans="2:3">
      <c r="B280" s="90" t="s">
        <v>1809</v>
      </c>
      <c r="C280" s="90" t="s">
        <v>376</v>
      </c>
    </row>
    <row r="281" spans="2:3">
      <c r="B281" s="90" t="s">
        <v>1810</v>
      </c>
      <c r="C281" s="90" t="s">
        <v>377</v>
      </c>
    </row>
    <row r="282" spans="2:3">
      <c r="B282" s="90" t="s">
        <v>1810</v>
      </c>
      <c r="C282" s="90" t="s">
        <v>377</v>
      </c>
    </row>
    <row r="283" spans="2:3">
      <c r="B283" s="90" t="s">
        <v>1810</v>
      </c>
      <c r="C283" s="90" t="s">
        <v>377</v>
      </c>
    </row>
    <row r="284" spans="2:3">
      <c r="B284" s="90" t="s">
        <v>1810</v>
      </c>
      <c r="C284" s="90" t="s">
        <v>377</v>
      </c>
    </row>
    <row r="285" spans="2:3">
      <c r="B285" s="90" t="s">
        <v>1811</v>
      </c>
      <c r="C285" s="90" t="s">
        <v>248</v>
      </c>
    </row>
    <row r="286" spans="2:3">
      <c r="B286" s="90" t="s">
        <v>1811</v>
      </c>
      <c r="C286" s="90" t="s">
        <v>248</v>
      </c>
    </row>
    <row r="287" spans="2:3">
      <c r="B287" s="90" t="s">
        <v>1812</v>
      </c>
      <c r="C287" s="90" t="s">
        <v>251</v>
      </c>
    </row>
    <row r="288" spans="2:3">
      <c r="B288" s="90" t="s">
        <v>1812</v>
      </c>
      <c r="C288" s="90" t="s">
        <v>251</v>
      </c>
    </row>
    <row r="289" spans="2:3">
      <c r="B289" s="90" t="s">
        <v>1813</v>
      </c>
      <c r="C289" s="90" t="s">
        <v>259</v>
      </c>
    </row>
    <row r="290" spans="2:3">
      <c r="B290" s="90" t="s">
        <v>1813</v>
      </c>
      <c r="C290" s="90" t="s">
        <v>259</v>
      </c>
    </row>
    <row r="291" spans="2:3">
      <c r="B291" s="90" t="s">
        <v>1814</v>
      </c>
      <c r="C291" s="90" t="s">
        <v>273</v>
      </c>
    </row>
    <row r="292" spans="2:3">
      <c r="B292" s="90" t="s">
        <v>1814</v>
      </c>
      <c r="C292" s="90" t="s">
        <v>273</v>
      </c>
    </row>
    <row r="293" spans="2:3">
      <c r="B293" s="90" t="s">
        <v>1815</v>
      </c>
      <c r="C293" s="90" t="s">
        <v>285</v>
      </c>
    </row>
    <row r="294" spans="2:3">
      <c r="B294" s="90" t="s">
        <v>1815</v>
      </c>
      <c r="C294" s="90" t="s">
        <v>285</v>
      </c>
    </row>
    <row r="295" spans="2:3">
      <c r="B295" s="90" t="s">
        <v>1815</v>
      </c>
      <c r="C295" s="90" t="s">
        <v>285</v>
      </c>
    </row>
    <row r="296" spans="2:3">
      <c r="B296" s="90" t="s">
        <v>1816</v>
      </c>
      <c r="C296" s="90" t="s">
        <v>286</v>
      </c>
    </row>
    <row r="297" spans="2:3">
      <c r="B297" s="90" t="s">
        <v>1816</v>
      </c>
      <c r="C297" s="90" t="s">
        <v>286</v>
      </c>
    </row>
    <row r="298" spans="2:3">
      <c r="B298" s="90" t="s">
        <v>1817</v>
      </c>
      <c r="C298" s="90" t="s">
        <v>290</v>
      </c>
    </row>
    <row r="299" spans="2:3">
      <c r="B299" s="90" t="s">
        <v>1817</v>
      </c>
      <c r="C299" s="90" t="s">
        <v>290</v>
      </c>
    </row>
    <row r="300" spans="2:3">
      <c r="B300" s="90" t="s">
        <v>1818</v>
      </c>
      <c r="C300" s="90" t="s">
        <v>292</v>
      </c>
    </row>
    <row r="301" spans="2:3">
      <c r="B301" s="90" t="s">
        <v>1818</v>
      </c>
      <c r="C301" s="90" t="s">
        <v>292</v>
      </c>
    </row>
    <row r="302" spans="2:3">
      <c r="B302" s="90" t="s">
        <v>1818</v>
      </c>
      <c r="C302" s="90" t="s">
        <v>292</v>
      </c>
    </row>
    <row r="303" spans="2:3">
      <c r="B303" s="90" t="s">
        <v>1818</v>
      </c>
      <c r="C303" s="90" t="s">
        <v>292</v>
      </c>
    </row>
    <row r="304" spans="2:3">
      <c r="B304" s="90" t="s">
        <v>1818</v>
      </c>
      <c r="C304" s="90" t="s">
        <v>292</v>
      </c>
    </row>
    <row r="305" spans="2:3">
      <c r="B305" s="90" t="s">
        <v>1818</v>
      </c>
      <c r="C305" s="90" t="s">
        <v>292</v>
      </c>
    </row>
    <row r="306" spans="2:3">
      <c r="B306" s="90" t="s">
        <v>1818</v>
      </c>
      <c r="C306" s="90" t="s">
        <v>292</v>
      </c>
    </row>
    <row r="307" spans="2:3">
      <c r="B307" s="90" t="s">
        <v>1819</v>
      </c>
      <c r="C307" s="90" t="s">
        <v>296</v>
      </c>
    </row>
    <row r="308" spans="2:3">
      <c r="B308" s="90" t="s">
        <v>1819</v>
      </c>
      <c r="C308" s="90" t="s">
        <v>296</v>
      </c>
    </row>
    <row r="309" spans="2:3">
      <c r="B309" s="90" t="s">
        <v>1819</v>
      </c>
      <c r="C309" s="90" t="s">
        <v>296</v>
      </c>
    </row>
    <row r="310" spans="2:3">
      <c r="B310" s="90" t="s">
        <v>1820</v>
      </c>
      <c r="C310" s="90" t="s">
        <v>297</v>
      </c>
    </row>
    <row r="311" spans="2:3">
      <c r="B311" s="90" t="s">
        <v>1820</v>
      </c>
      <c r="C311" s="90" t="s">
        <v>297</v>
      </c>
    </row>
    <row r="312" spans="2:3">
      <c r="B312" s="90" t="s">
        <v>1820</v>
      </c>
      <c r="C312" s="90" t="s">
        <v>297</v>
      </c>
    </row>
    <row r="313" spans="2:3">
      <c r="B313" s="90" t="s">
        <v>1821</v>
      </c>
      <c r="C313" s="90" t="s">
        <v>300</v>
      </c>
    </row>
    <row r="314" spans="2:3">
      <c r="B314" s="90" t="s">
        <v>1821</v>
      </c>
      <c r="C314" s="90" t="s">
        <v>300</v>
      </c>
    </row>
    <row r="315" spans="2:3">
      <c r="B315" s="90" t="s">
        <v>1821</v>
      </c>
      <c r="C315" s="90" t="s">
        <v>300</v>
      </c>
    </row>
    <row r="316" spans="2:3">
      <c r="B316" s="90" t="s">
        <v>1822</v>
      </c>
      <c r="C316" s="90" t="s">
        <v>303</v>
      </c>
    </row>
    <row r="317" spans="2:3">
      <c r="B317" s="90" t="s">
        <v>1822</v>
      </c>
      <c r="C317" s="90" t="s">
        <v>303</v>
      </c>
    </row>
    <row r="318" spans="2:3">
      <c r="B318" s="90" t="s">
        <v>1822</v>
      </c>
      <c r="C318" s="90" t="s">
        <v>303</v>
      </c>
    </row>
    <row r="319" spans="2:3">
      <c r="B319" s="90" t="s">
        <v>1822</v>
      </c>
      <c r="C319" s="90" t="s">
        <v>303</v>
      </c>
    </row>
    <row r="320" spans="2:3">
      <c r="B320" s="90" t="s">
        <v>1822</v>
      </c>
      <c r="C320" s="90" t="s">
        <v>303</v>
      </c>
    </row>
    <row r="321" spans="2:3">
      <c r="B321" s="90" t="s">
        <v>1823</v>
      </c>
      <c r="C321" s="90" t="s">
        <v>308</v>
      </c>
    </row>
    <row r="322" spans="2:3">
      <c r="B322" s="90" t="s">
        <v>1823</v>
      </c>
      <c r="C322" s="90" t="s">
        <v>308</v>
      </c>
    </row>
    <row r="323" spans="2:3">
      <c r="B323" s="90" t="s">
        <v>1823</v>
      </c>
      <c r="C323" s="90" t="s">
        <v>308</v>
      </c>
    </row>
    <row r="324" spans="2:3">
      <c r="B324" s="90" t="s">
        <v>1823</v>
      </c>
      <c r="C324" s="90" t="s">
        <v>308</v>
      </c>
    </row>
    <row r="325" spans="2:3">
      <c r="B325" s="90" t="s">
        <v>1824</v>
      </c>
      <c r="C325" s="90" t="s">
        <v>312</v>
      </c>
    </row>
    <row r="326" spans="2:3">
      <c r="B326" s="90" t="s">
        <v>1824</v>
      </c>
      <c r="C326" s="90" t="s">
        <v>312</v>
      </c>
    </row>
    <row r="327" spans="2:3">
      <c r="B327" s="90" t="s">
        <v>1824</v>
      </c>
      <c r="C327" s="90" t="s">
        <v>312</v>
      </c>
    </row>
    <row r="328" spans="2:3">
      <c r="B328" s="90" t="s">
        <v>1824</v>
      </c>
      <c r="C328" s="90" t="s">
        <v>312</v>
      </c>
    </row>
    <row r="329" spans="2:3">
      <c r="B329" s="90" t="s">
        <v>1824</v>
      </c>
      <c r="C329" s="90" t="s">
        <v>312</v>
      </c>
    </row>
    <row r="330" spans="2:3">
      <c r="B330" s="90" t="s">
        <v>1825</v>
      </c>
      <c r="C330" s="90" t="s">
        <v>315</v>
      </c>
    </row>
    <row r="331" spans="2:3">
      <c r="B331" s="90" t="s">
        <v>1825</v>
      </c>
      <c r="C331" s="90" t="s">
        <v>315</v>
      </c>
    </row>
    <row r="332" spans="2:3">
      <c r="B332" s="90" t="s">
        <v>1825</v>
      </c>
      <c r="C332" s="90" t="s">
        <v>315</v>
      </c>
    </row>
    <row r="333" spans="2:3">
      <c r="B333" s="90" t="s">
        <v>1826</v>
      </c>
      <c r="C333" s="90" t="s">
        <v>319</v>
      </c>
    </row>
    <row r="334" spans="2:3">
      <c r="B334" s="90" t="s">
        <v>1826</v>
      </c>
      <c r="C334" s="90" t="s">
        <v>319</v>
      </c>
    </row>
    <row r="335" spans="2:3">
      <c r="B335" s="90" t="s">
        <v>1826</v>
      </c>
      <c r="C335" s="90" t="s">
        <v>319</v>
      </c>
    </row>
    <row r="336" spans="2:3">
      <c r="B336" s="90" t="s">
        <v>1827</v>
      </c>
      <c r="C336" s="90" t="s">
        <v>322</v>
      </c>
    </row>
    <row r="337" spans="2:3">
      <c r="B337" s="90" t="s">
        <v>1828</v>
      </c>
      <c r="C337" s="90" t="s">
        <v>323</v>
      </c>
    </row>
    <row r="338" spans="2:3">
      <c r="B338" s="90" t="s">
        <v>1828</v>
      </c>
      <c r="C338" s="90" t="s">
        <v>323</v>
      </c>
    </row>
    <row r="339" spans="2:3">
      <c r="B339" s="90" t="s">
        <v>1828</v>
      </c>
      <c r="C339" s="90" t="s">
        <v>323</v>
      </c>
    </row>
    <row r="340" spans="2:3">
      <c r="B340" s="90" t="s">
        <v>1828</v>
      </c>
      <c r="C340" s="90" t="s">
        <v>323</v>
      </c>
    </row>
    <row r="341" spans="2:3">
      <c r="B341" s="90" t="s">
        <v>1828</v>
      </c>
      <c r="C341" s="90" t="s">
        <v>323</v>
      </c>
    </row>
    <row r="342" spans="2:3">
      <c r="B342" s="90" t="s">
        <v>1829</v>
      </c>
      <c r="C342" s="90" t="s">
        <v>326</v>
      </c>
    </row>
    <row r="343" spans="2:3">
      <c r="B343" s="90" t="s">
        <v>1829</v>
      </c>
      <c r="C343" s="90" t="s">
        <v>326</v>
      </c>
    </row>
    <row r="344" spans="2:3">
      <c r="B344" s="90" t="s">
        <v>1829</v>
      </c>
      <c r="C344" s="90" t="s">
        <v>326</v>
      </c>
    </row>
    <row r="345" spans="2:3">
      <c r="B345" s="90" t="s">
        <v>1830</v>
      </c>
      <c r="C345" s="90" t="s">
        <v>328</v>
      </c>
    </row>
    <row r="346" spans="2:3">
      <c r="B346" s="90" t="s">
        <v>1830</v>
      </c>
      <c r="C346" s="90" t="s">
        <v>328</v>
      </c>
    </row>
    <row r="347" spans="2:3">
      <c r="B347" s="90" t="s">
        <v>1831</v>
      </c>
      <c r="C347" s="90" t="s">
        <v>239</v>
      </c>
    </row>
    <row r="348" spans="2:3">
      <c r="B348" s="90" t="s">
        <v>1831</v>
      </c>
      <c r="C348" s="90" t="s">
        <v>239</v>
      </c>
    </row>
    <row r="349" spans="2:3">
      <c r="B349" s="90" t="s">
        <v>1831</v>
      </c>
      <c r="C349" s="90" t="s">
        <v>239</v>
      </c>
    </row>
    <row r="350" spans="2:3">
      <c r="B350" s="90" t="s">
        <v>1831</v>
      </c>
      <c r="C350" s="90" t="s">
        <v>239</v>
      </c>
    </row>
    <row r="351" spans="2:3">
      <c r="B351" s="90" t="s">
        <v>1832</v>
      </c>
      <c r="C351" s="90" t="s">
        <v>241</v>
      </c>
    </row>
    <row r="352" spans="2:3">
      <c r="B352" s="90" t="s">
        <v>1832</v>
      </c>
      <c r="C352" s="90" t="s">
        <v>241</v>
      </c>
    </row>
    <row r="353" spans="2:3">
      <c r="B353" s="90" t="s">
        <v>1832</v>
      </c>
      <c r="C353" s="90" t="s">
        <v>241</v>
      </c>
    </row>
    <row r="354" spans="2:3">
      <c r="B354" s="90" t="s">
        <v>1832</v>
      </c>
      <c r="C354" s="90" t="s">
        <v>241</v>
      </c>
    </row>
    <row r="355" spans="2:3">
      <c r="B355" s="90" t="s">
        <v>1833</v>
      </c>
      <c r="C355" s="90" t="s">
        <v>330</v>
      </c>
    </row>
    <row r="356" spans="2:3">
      <c r="B356" s="90" t="s">
        <v>1833</v>
      </c>
      <c r="C356" s="90" t="s">
        <v>330</v>
      </c>
    </row>
    <row r="357" spans="2:3">
      <c r="B357" s="90" t="s">
        <v>1833</v>
      </c>
      <c r="C357" s="90" t="s">
        <v>330</v>
      </c>
    </row>
    <row r="358" spans="2:3">
      <c r="B358" s="90" t="s">
        <v>1833</v>
      </c>
      <c r="C358" s="90" t="s">
        <v>330</v>
      </c>
    </row>
    <row r="359" spans="2:3">
      <c r="B359" s="90" t="s">
        <v>1833</v>
      </c>
      <c r="C359" s="90" t="s">
        <v>330</v>
      </c>
    </row>
    <row r="360" spans="2:3">
      <c r="B360" s="90" t="s">
        <v>1833</v>
      </c>
      <c r="C360" s="90" t="s">
        <v>330</v>
      </c>
    </row>
    <row r="361" spans="2:3">
      <c r="B361" s="90" t="s">
        <v>1833</v>
      </c>
      <c r="C361" s="90" t="s">
        <v>330</v>
      </c>
    </row>
    <row r="362" spans="2:3">
      <c r="B362" s="90" t="s">
        <v>1833</v>
      </c>
      <c r="C362" s="90" t="s">
        <v>330</v>
      </c>
    </row>
    <row r="363" spans="2:3">
      <c r="B363" s="90" t="s">
        <v>1833</v>
      </c>
      <c r="C363" s="90" t="s">
        <v>330</v>
      </c>
    </row>
    <row r="364" spans="2:3">
      <c r="B364" s="90" t="s">
        <v>1833</v>
      </c>
      <c r="C364" s="90" t="s">
        <v>330</v>
      </c>
    </row>
    <row r="365" spans="2:3">
      <c r="B365" s="90" t="s">
        <v>1833</v>
      </c>
      <c r="C365" s="90" t="s">
        <v>330</v>
      </c>
    </row>
    <row r="366" spans="2:3">
      <c r="B366" s="90" t="s">
        <v>1833</v>
      </c>
      <c r="C366" s="90" t="s">
        <v>330</v>
      </c>
    </row>
    <row r="367" spans="2:3">
      <c r="B367" s="90" t="s">
        <v>1834</v>
      </c>
      <c r="C367" s="90" t="s">
        <v>380</v>
      </c>
    </row>
    <row r="368" spans="2:3">
      <c r="B368" s="90" t="s">
        <v>1834</v>
      </c>
      <c r="C368" s="90" t="s">
        <v>380</v>
      </c>
    </row>
    <row r="369" spans="2:3">
      <c r="B369" s="90" t="s">
        <v>1834</v>
      </c>
      <c r="C369" s="90" t="s">
        <v>380</v>
      </c>
    </row>
  </sheetData>
  <autoFilter ref="A1:K185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5"/>
  <sheetViews>
    <sheetView zoomScaleNormal="100" workbookViewId="0">
      <selection activeCell="G13" sqref="G13"/>
    </sheetView>
  </sheetViews>
  <sheetFormatPr defaultColWidth="9" defaultRowHeight="14.4"/>
  <cols>
    <col min="1" max="1" width="6.33203125" style="15" customWidth="1"/>
    <col min="2" max="2" width="11.5546875" style="15" customWidth="1"/>
    <col min="3" max="3" width="9.33203125" style="15" customWidth="1"/>
    <col min="4" max="4" width="15.6640625" style="15" customWidth="1"/>
    <col min="5" max="5" width="12.44140625" style="15" customWidth="1"/>
    <col min="6" max="6" width="8" style="15" customWidth="1"/>
    <col min="7" max="9" width="9" style="15" customWidth="1"/>
    <col min="10" max="10" width="19.44140625" style="16" customWidth="1"/>
    <col min="11" max="11" width="6.5546875" style="15" customWidth="1"/>
    <col min="12" max="12" width="12.33203125" style="15" customWidth="1"/>
    <col min="13" max="13" width="6.44140625" style="15" customWidth="1"/>
    <col min="14" max="14" width="9.5546875" style="15" customWidth="1"/>
    <col min="15" max="15" width="11.33203125" style="16" customWidth="1"/>
    <col min="16" max="16" width="9.33203125" style="15" customWidth="1"/>
    <col min="17" max="17" width="17" style="16" customWidth="1"/>
    <col min="18" max="18" width="13.33203125" style="16" customWidth="1"/>
    <col min="19" max="19" width="12.5546875" style="16" customWidth="1"/>
    <col min="20" max="20" width="13.44140625" style="16" bestFit="1" customWidth="1"/>
    <col min="21" max="22" width="12.44140625" style="15" customWidth="1"/>
    <col min="23" max="23" width="36.44140625" style="16" customWidth="1"/>
    <col min="24" max="24" width="12.88671875" style="16" customWidth="1"/>
    <col min="25" max="25" width="7.88671875" style="16" customWidth="1"/>
    <col min="26" max="26" width="12.33203125" style="16" customWidth="1"/>
    <col min="27" max="27" width="21" style="16" customWidth="1"/>
    <col min="28" max="28" width="7.33203125" style="15" customWidth="1"/>
    <col min="29" max="29" width="13" style="15" customWidth="1"/>
    <col min="30" max="30" width="6.44140625" style="15" customWidth="1"/>
    <col min="31" max="31" width="7.44140625" style="15" customWidth="1"/>
    <col min="32" max="32" width="11.6640625" style="16" bestFit="1" customWidth="1"/>
    <col min="33" max="33" width="9.5546875" style="15" customWidth="1"/>
    <col min="34" max="34" width="14.88671875" style="16" customWidth="1"/>
    <col min="35" max="35" width="14.44140625" style="16" customWidth="1"/>
    <col min="36" max="36" width="11.33203125" style="16" customWidth="1"/>
    <col min="37" max="37" width="12.44140625" style="16" customWidth="1"/>
    <col min="38" max="39" width="10.6640625" style="15" customWidth="1"/>
    <col min="40" max="40" width="25.6640625" style="16" customWidth="1"/>
    <col min="41" max="41" width="11.44140625" style="16" customWidth="1"/>
    <col min="42" max="42" width="9.44140625" style="16" customWidth="1"/>
    <col min="43" max="43" width="9.33203125" style="16" customWidth="1"/>
    <col min="44" max="44" width="9" style="15" customWidth="1"/>
    <col min="45" max="45" width="7.33203125" style="15" customWidth="1"/>
    <col min="46" max="46" width="11.44140625" style="15" customWidth="1"/>
    <col min="47" max="47" width="27.44140625" style="16" customWidth="1"/>
    <col min="48" max="48" width="9.88671875" style="15" customWidth="1"/>
    <col min="49" max="49" width="10.33203125" style="15" customWidth="1"/>
    <col min="50" max="50" width="10.44140625" style="15" customWidth="1"/>
    <col min="51" max="51" width="17.33203125" style="16" customWidth="1"/>
    <col min="52" max="52" width="7.88671875" style="15" customWidth="1"/>
    <col min="53" max="53" width="8.33203125" style="15" customWidth="1"/>
    <col min="54" max="54" width="9.109375" style="15" customWidth="1"/>
    <col min="55" max="55" width="27.109375" style="16" customWidth="1"/>
    <col min="56" max="56" width="14.88671875" style="16" customWidth="1"/>
    <col min="57" max="57" width="18.5546875" style="16" customWidth="1"/>
    <col min="58" max="58" width="21.109375" style="16" customWidth="1"/>
    <col min="59" max="59" width="12.88671875" style="16" customWidth="1"/>
    <col min="60" max="60" width="11.44140625" style="15" customWidth="1"/>
    <col min="61" max="61" width="27.109375" style="16" customWidth="1"/>
    <col min="62" max="62" width="15.5546875" style="16" customWidth="1"/>
    <col min="63" max="64" width="11.109375" style="16" customWidth="1"/>
    <col min="65" max="65" width="26.88671875" style="16" customWidth="1"/>
    <col min="66" max="66" width="16.109375" style="15" customWidth="1"/>
    <col min="67" max="67" width="12.44140625" style="15" customWidth="1"/>
    <col min="68" max="68" width="16.6640625" style="15" customWidth="1"/>
    <col min="69" max="69" width="9.109375" style="15" customWidth="1"/>
    <col min="70" max="70" width="9.44140625" style="15" bestFit="1" customWidth="1"/>
    <col min="71" max="71" width="9.44140625" style="15" customWidth="1"/>
    <col min="72" max="75" width="9" style="15" customWidth="1"/>
    <col min="76" max="76" width="8.88671875" style="15" customWidth="1"/>
    <col min="77" max="77" width="9" style="15" customWidth="1"/>
    <col min="78" max="78" width="8.44140625" style="15" customWidth="1"/>
    <col min="79" max="79" width="9.88671875" style="15" customWidth="1"/>
    <col min="80" max="80" width="9" style="15" customWidth="1"/>
    <col min="81" max="90" width="8" style="15" customWidth="1"/>
    <col min="91" max="91" width="20.33203125" style="15" customWidth="1"/>
    <col min="92" max="92" width="8" style="15" customWidth="1"/>
    <col min="93" max="93" width="36.44140625" style="15" customWidth="1"/>
    <col min="94" max="94" width="12.88671875" style="15" customWidth="1"/>
    <col min="95" max="95" width="12" style="15" customWidth="1"/>
    <col min="96" max="96" width="8.109375" style="15" customWidth="1"/>
    <col min="97" max="97" width="9.33203125" style="15" customWidth="1"/>
    <col min="98" max="98" width="8.109375" style="15" customWidth="1"/>
    <col min="99" max="99" width="15" style="15" customWidth="1"/>
    <col min="100" max="100" width="15.109375" style="15" customWidth="1"/>
    <col min="101" max="102" width="9" style="15" customWidth="1"/>
    <col min="103" max="104" width="9.5546875" style="15" customWidth="1"/>
    <col min="105" max="105" width="8.109375" style="15" customWidth="1"/>
    <col min="106" max="106" width="20.109375" style="15" customWidth="1"/>
    <col min="107" max="107" width="11.44140625" style="15" customWidth="1"/>
    <col min="108" max="108" width="14.5546875" style="15" customWidth="1"/>
    <col min="109" max="109" width="9" style="15" customWidth="1"/>
    <col min="110" max="110" width="14.44140625" style="15" customWidth="1"/>
    <col min="111" max="141" width="9" style="15" customWidth="1"/>
    <col min="142" max="143" width="17.44140625" style="15" customWidth="1"/>
    <col min="144" max="144" width="9" style="15" customWidth="1"/>
    <col min="145" max="16384" width="9" style="15"/>
  </cols>
  <sheetData>
    <row r="1" spans="1:102" ht="18" customHeight="1">
      <c r="A1" s="118" t="s">
        <v>0</v>
      </c>
      <c r="B1" s="122" t="s">
        <v>1</v>
      </c>
      <c r="C1" s="124"/>
      <c r="D1" s="123"/>
      <c r="E1" s="122" t="s">
        <v>530</v>
      </c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3"/>
      <c r="AA1" s="122" t="s">
        <v>2</v>
      </c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24"/>
      <c r="AM1" s="124"/>
      <c r="AN1" s="124"/>
      <c r="AO1" s="124"/>
      <c r="AP1" s="124"/>
      <c r="AQ1" s="123"/>
      <c r="AR1" s="122" t="s">
        <v>3</v>
      </c>
      <c r="AS1" s="124"/>
      <c r="AT1" s="124"/>
      <c r="AU1" s="122" t="s">
        <v>4</v>
      </c>
      <c r="AV1" s="124"/>
      <c r="AW1" s="124"/>
      <c r="AX1" s="124"/>
      <c r="AY1" s="124"/>
      <c r="AZ1" s="124"/>
      <c r="BA1" s="124"/>
      <c r="BB1" s="124"/>
      <c r="BC1" s="124"/>
      <c r="BD1" s="124"/>
      <c r="BE1" s="124"/>
      <c r="BF1" s="124"/>
      <c r="BG1" s="124"/>
      <c r="BH1" s="124"/>
      <c r="BI1" s="124"/>
      <c r="BJ1" s="124"/>
      <c r="BK1" s="124"/>
      <c r="BL1" s="124"/>
      <c r="BM1" s="124"/>
      <c r="BN1" s="124"/>
      <c r="BO1" s="124"/>
      <c r="BP1" s="124"/>
      <c r="BQ1" s="124"/>
      <c r="BR1" s="123"/>
      <c r="BS1" s="122"/>
      <c r="BT1" s="124"/>
      <c r="BU1" s="124"/>
      <c r="BV1" s="124"/>
      <c r="BW1" s="124"/>
      <c r="BX1" s="124"/>
      <c r="BY1" s="124"/>
      <c r="BZ1" s="124"/>
      <c r="CA1" s="124"/>
      <c r="CB1" s="124"/>
      <c r="CC1" s="124"/>
      <c r="CD1" s="124"/>
      <c r="CE1" s="124"/>
      <c r="CF1" s="124"/>
      <c r="CG1" s="124"/>
      <c r="CH1" s="124"/>
      <c r="CI1" s="124"/>
      <c r="CJ1" s="124"/>
      <c r="CK1" s="124"/>
      <c r="CL1" s="124"/>
      <c r="CM1" s="124"/>
      <c r="CN1" s="124"/>
      <c r="CO1" s="124"/>
      <c r="CP1" s="123"/>
      <c r="CQ1" s="122" t="s">
        <v>520</v>
      </c>
      <c r="CR1" s="124"/>
      <c r="CS1" s="124"/>
      <c r="CT1" s="124"/>
      <c r="CU1" s="123"/>
      <c r="CV1" s="126" t="s">
        <v>521</v>
      </c>
      <c r="CW1" s="127"/>
      <c r="CX1" s="128"/>
    </row>
    <row r="2" spans="1:102" ht="34.5" customHeight="1">
      <c r="A2" s="125"/>
      <c r="B2" s="118" t="s">
        <v>7</v>
      </c>
      <c r="C2" s="118" t="s">
        <v>8</v>
      </c>
      <c r="D2" s="118" t="s">
        <v>9</v>
      </c>
      <c r="E2" s="118" t="s">
        <v>6</v>
      </c>
      <c r="F2" s="118" t="s">
        <v>10</v>
      </c>
      <c r="G2" s="118" t="s">
        <v>11</v>
      </c>
      <c r="H2" s="118" t="s">
        <v>564</v>
      </c>
      <c r="I2" s="118" t="s">
        <v>649</v>
      </c>
      <c r="J2" s="118" t="s">
        <v>529</v>
      </c>
      <c r="K2" s="118" t="s">
        <v>12</v>
      </c>
      <c r="L2" s="120" t="s">
        <v>647</v>
      </c>
      <c r="M2" s="118" t="s">
        <v>13</v>
      </c>
      <c r="N2" s="118" t="s">
        <v>14</v>
      </c>
      <c r="O2" s="118" t="s">
        <v>15</v>
      </c>
      <c r="P2" s="118" t="s">
        <v>16</v>
      </c>
      <c r="Q2" s="118" t="s">
        <v>17</v>
      </c>
      <c r="R2" s="122" t="s">
        <v>196</v>
      </c>
      <c r="S2" s="124"/>
      <c r="T2" s="124"/>
      <c r="U2" s="124"/>
      <c r="V2" s="124"/>
      <c r="W2" s="123"/>
      <c r="X2" s="118" t="s">
        <v>170</v>
      </c>
      <c r="Y2" s="118" t="s">
        <v>169</v>
      </c>
      <c r="Z2" s="118" t="s">
        <v>168</v>
      </c>
      <c r="AA2" s="118" t="s">
        <v>18</v>
      </c>
      <c r="AB2" s="118" t="s">
        <v>12</v>
      </c>
      <c r="AC2" s="120" t="s">
        <v>647</v>
      </c>
      <c r="AD2" s="118" t="s">
        <v>13</v>
      </c>
      <c r="AE2" s="118" t="s">
        <v>14</v>
      </c>
      <c r="AF2" s="118" t="s">
        <v>19</v>
      </c>
      <c r="AG2" s="118" t="s">
        <v>16</v>
      </c>
      <c r="AH2" s="118" t="s">
        <v>17</v>
      </c>
      <c r="AI2" s="122" t="s">
        <v>182</v>
      </c>
      <c r="AJ2" s="124"/>
      <c r="AK2" s="124"/>
      <c r="AL2" s="124"/>
      <c r="AM2" s="124"/>
      <c r="AN2" s="123"/>
      <c r="AO2" s="118" t="s">
        <v>170</v>
      </c>
      <c r="AP2" s="118" t="s">
        <v>169</v>
      </c>
      <c r="AQ2" s="118" t="s">
        <v>168</v>
      </c>
      <c r="AR2" s="118" t="s">
        <v>20</v>
      </c>
      <c r="AS2" s="118" t="s">
        <v>21</v>
      </c>
      <c r="AT2" s="118" t="s">
        <v>5</v>
      </c>
      <c r="AU2" s="118" t="s">
        <v>160</v>
      </c>
      <c r="AV2" s="118" t="s">
        <v>24</v>
      </c>
      <c r="AW2" s="118" t="s">
        <v>179</v>
      </c>
      <c r="AX2" s="118" t="s">
        <v>171</v>
      </c>
      <c r="AY2" s="118" t="s">
        <v>25</v>
      </c>
      <c r="AZ2" s="118" t="s">
        <v>180</v>
      </c>
      <c r="BA2" s="118" t="s">
        <v>173</v>
      </c>
      <c r="BB2" s="118" t="s">
        <v>26</v>
      </c>
      <c r="BC2" s="118" t="s">
        <v>27</v>
      </c>
      <c r="BD2" s="118" t="s">
        <v>172</v>
      </c>
      <c r="BE2" s="118" t="s">
        <v>28</v>
      </c>
      <c r="BF2" s="118" t="s">
        <v>29</v>
      </c>
      <c r="BG2" s="122" t="s">
        <v>532</v>
      </c>
      <c r="BH2" s="124"/>
      <c r="BI2" s="124"/>
      <c r="BJ2" s="124"/>
      <c r="BK2" s="124"/>
      <c r="BL2" s="123"/>
      <c r="BM2" s="122" t="s">
        <v>531</v>
      </c>
      <c r="BN2" s="124"/>
      <c r="BO2" s="124"/>
      <c r="BP2" s="124"/>
      <c r="BQ2" s="124"/>
      <c r="BR2" s="123"/>
      <c r="BS2" s="122" t="s">
        <v>183</v>
      </c>
      <c r="BT2" s="124"/>
      <c r="BU2" s="124"/>
      <c r="BV2" s="124"/>
      <c r="BW2" s="124"/>
      <c r="BX2" s="124"/>
      <c r="BY2" s="124"/>
      <c r="BZ2" s="123"/>
      <c r="CA2" s="122" t="s">
        <v>184</v>
      </c>
      <c r="CB2" s="124"/>
      <c r="CC2" s="124"/>
      <c r="CD2" s="124"/>
      <c r="CE2" s="124"/>
      <c r="CF2" s="124"/>
      <c r="CG2" s="124"/>
      <c r="CH2" s="124"/>
      <c r="CI2" s="124"/>
      <c r="CJ2" s="124"/>
      <c r="CK2" s="124"/>
      <c r="CL2" s="123"/>
      <c r="CM2" s="122" t="s">
        <v>185</v>
      </c>
      <c r="CN2" s="123"/>
      <c r="CO2" s="122" t="s">
        <v>642</v>
      </c>
      <c r="CP2" s="123"/>
      <c r="CQ2" s="122" t="s">
        <v>522</v>
      </c>
      <c r="CR2" s="124"/>
      <c r="CS2" s="124"/>
      <c r="CT2" s="123"/>
      <c r="CU2" s="118" t="s">
        <v>523</v>
      </c>
      <c r="CV2" s="129" t="s">
        <v>524</v>
      </c>
      <c r="CW2" s="129" t="s">
        <v>525</v>
      </c>
      <c r="CX2" s="129" t="s">
        <v>526</v>
      </c>
    </row>
    <row r="3" spans="1:102" ht="41.25" customHeight="1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21"/>
      <c r="M3" s="119"/>
      <c r="N3" s="119"/>
      <c r="O3" s="119"/>
      <c r="P3" s="119"/>
      <c r="Q3" s="119"/>
      <c r="R3" s="23" t="s">
        <v>181</v>
      </c>
      <c r="S3" s="23" t="s">
        <v>161</v>
      </c>
      <c r="T3" s="23" t="s">
        <v>162</v>
      </c>
      <c r="U3" s="23" t="s">
        <v>174</v>
      </c>
      <c r="V3" s="25" t="s">
        <v>648</v>
      </c>
      <c r="W3" s="23" t="s">
        <v>175</v>
      </c>
      <c r="X3" s="119"/>
      <c r="Y3" s="119"/>
      <c r="Z3" s="119"/>
      <c r="AA3" s="119"/>
      <c r="AB3" s="119"/>
      <c r="AC3" s="121"/>
      <c r="AD3" s="119"/>
      <c r="AE3" s="119"/>
      <c r="AF3" s="119"/>
      <c r="AG3" s="119"/>
      <c r="AH3" s="119"/>
      <c r="AI3" s="23" t="s">
        <v>176</v>
      </c>
      <c r="AJ3" s="23" t="s">
        <v>161</v>
      </c>
      <c r="AK3" s="23" t="s">
        <v>162</v>
      </c>
      <c r="AL3" s="23" t="s">
        <v>177</v>
      </c>
      <c r="AM3" s="25" t="s">
        <v>648</v>
      </c>
      <c r="AN3" s="23" t="s">
        <v>175</v>
      </c>
      <c r="AO3" s="119"/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19"/>
      <c r="BA3" s="119"/>
      <c r="BB3" s="119"/>
      <c r="BC3" s="119"/>
      <c r="BD3" s="119"/>
      <c r="BE3" s="119"/>
      <c r="BF3" s="119"/>
      <c r="BG3" s="23" t="s">
        <v>30</v>
      </c>
      <c r="BH3" s="23" t="s">
        <v>31</v>
      </c>
      <c r="BI3" s="23" t="s">
        <v>32</v>
      </c>
      <c r="BJ3" s="23" t="s">
        <v>33</v>
      </c>
      <c r="BK3" s="23" t="s">
        <v>34</v>
      </c>
      <c r="BL3" s="23" t="s">
        <v>35</v>
      </c>
      <c r="BM3" s="23" t="s">
        <v>36</v>
      </c>
      <c r="BN3" s="23" t="s">
        <v>37</v>
      </c>
      <c r="BO3" s="23" t="s">
        <v>38</v>
      </c>
      <c r="BP3" s="23" t="s">
        <v>39</v>
      </c>
      <c r="BQ3" s="23" t="s">
        <v>164</v>
      </c>
      <c r="BR3" s="23" t="s">
        <v>163</v>
      </c>
      <c r="BS3" s="23" t="s">
        <v>165</v>
      </c>
      <c r="BT3" s="23" t="s">
        <v>188</v>
      </c>
      <c r="BU3" s="23" t="s">
        <v>189</v>
      </c>
      <c r="BV3" s="23" t="s">
        <v>166</v>
      </c>
      <c r="BW3" s="23" t="s">
        <v>167</v>
      </c>
      <c r="BX3" s="23" t="s">
        <v>187</v>
      </c>
      <c r="BY3" s="23" t="s">
        <v>190</v>
      </c>
      <c r="BZ3" s="23" t="s">
        <v>191</v>
      </c>
      <c r="CA3" s="23" t="s">
        <v>193</v>
      </c>
      <c r="CB3" s="23" t="s">
        <v>43</v>
      </c>
      <c r="CC3" s="23" t="s">
        <v>533</v>
      </c>
      <c r="CD3" s="23" t="s">
        <v>42</v>
      </c>
      <c r="CE3" s="23" t="s">
        <v>194</v>
      </c>
      <c r="CF3" s="23" t="s">
        <v>44</v>
      </c>
      <c r="CG3" s="23" t="s">
        <v>186</v>
      </c>
      <c r="CH3" s="23" t="s">
        <v>167</v>
      </c>
      <c r="CI3" s="23" t="s">
        <v>40</v>
      </c>
      <c r="CJ3" s="23" t="s">
        <v>41</v>
      </c>
      <c r="CK3" s="23" t="s">
        <v>45</v>
      </c>
      <c r="CL3" s="23" t="s">
        <v>23</v>
      </c>
      <c r="CM3" s="23" t="s">
        <v>192</v>
      </c>
      <c r="CN3" s="23" t="s">
        <v>195</v>
      </c>
      <c r="CO3" s="23" t="s">
        <v>578</v>
      </c>
      <c r="CP3" s="23" t="s">
        <v>31</v>
      </c>
      <c r="CQ3" s="24" t="s">
        <v>527</v>
      </c>
      <c r="CR3" s="24" t="s">
        <v>519</v>
      </c>
      <c r="CS3" s="24" t="s">
        <v>528</v>
      </c>
      <c r="CT3" s="24" t="s">
        <v>518</v>
      </c>
      <c r="CU3" s="119"/>
      <c r="CV3" s="130"/>
      <c r="CW3" s="130"/>
      <c r="CX3" s="130"/>
    </row>
    <row r="4" spans="1:102" s="21" customFormat="1" ht="23.25" customHeight="1">
      <c r="A4" s="22">
        <v>1</v>
      </c>
      <c r="B4" s="22">
        <v>2</v>
      </c>
      <c r="C4" s="22">
        <v>3</v>
      </c>
      <c r="D4" s="22">
        <v>4</v>
      </c>
      <c r="E4" s="22">
        <v>5</v>
      </c>
      <c r="F4" s="22">
        <v>6</v>
      </c>
      <c r="G4" s="22">
        <v>7</v>
      </c>
      <c r="H4" s="22">
        <v>8</v>
      </c>
      <c r="I4" s="22">
        <v>9</v>
      </c>
      <c r="J4" s="22">
        <v>10</v>
      </c>
      <c r="K4" s="22">
        <v>11</v>
      </c>
      <c r="L4" s="22">
        <v>12</v>
      </c>
      <c r="M4" s="22">
        <v>13</v>
      </c>
      <c r="N4" s="22">
        <v>14</v>
      </c>
      <c r="O4" s="22">
        <v>15</v>
      </c>
      <c r="P4" s="22">
        <v>16</v>
      </c>
      <c r="Q4" s="22">
        <v>17</v>
      </c>
      <c r="R4" s="22">
        <v>18</v>
      </c>
      <c r="S4" s="22">
        <v>19</v>
      </c>
      <c r="T4" s="22">
        <v>20</v>
      </c>
      <c r="U4" s="22">
        <v>21</v>
      </c>
      <c r="V4" s="22">
        <v>22</v>
      </c>
      <c r="W4" s="22">
        <v>23</v>
      </c>
      <c r="X4" s="22">
        <v>24</v>
      </c>
      <c r="Y4" s="22">
        <v>25</v>
      </c>
      <c r="Z4" s="22">
        <v>26</v>
      </c>
      <c r="AA4" s="22">
        <v>27</v>
      </c>
      <c r="AB4" s="22">
        <v>28</v>
      </c>
      <c r="AC4" s="22">
        <v>29</v>
      </c>
      <c r="AD4" s="22">
        <v>30</v>
      </c>
      <c r="AE4" s="22">
        <v>31</v>
      </c>
      <c r="AF4" s="22">
        <v>32</v>
      </c>
      <c r="AG4" s="22">
        <v>33</v>
      </c>
      <c r="AH4" s="22">
        <v>34</v>
      </c>
      <c r="AI4" s="22">
        <v>35</v>
      </c>
      <c r="AJ4" s="22">
        <v>36</v>
      </c>
      <c r="AK4" s="22">
        <v>37</v>
      </c>
      <c r="AL4" s="22">
        <v>38</v>
      </c>
      <c r="AM4" s="22">
        <v>39</v>
      </c>
      <c r="AN4" s="22">
        <v>40</v>
      </c>
      <c r="AO4" s="22">
        <v>41</v>
      </c>
      <c r="AP4" s="22">
        <v>42</v>
      </c>
      <c r="AQ4" s="22">
        <v>43</v>
      </c>
      <c r="AR4" s="22">
        <v>44</v>
      </c>
      <c r="AS4" s="22">
        <v>45</v>
      </c>
      <c r="AT4" s="22">
        <v>46</v>
      </c>
      <c r="AU4" s="22">
        <v>47</v>
      </c>
      <c r="AV4" s="22">
        <v>48</v>
      </c>
      <c r="AW4" s="22">
        <v>49</v>
      </c>
      <c r="AX4" s="22">
        <v>50</v>
      </c>
      <c r="AY4" s="22">
        <v>51</v>
      </c>
      <c r="AZ4" s="22">
        <v>52</v>
      </c>
      <c r="BA4" s="22">
        <v>53</v>
      </c>
      <c r="BB4" s="22">
        <v>54</v>
      </c>
      <c r="BC4" s="22">
        <v>55</v>
      </c>
      <c r="BD4" s="22">
        <v>56</v>
      </c>
      <c r="BE4" s="22">
        <v>57</v>
      </c>
      <c r="BF4" s="22">
        <v>58</v>
      </c>
      <c r="BG4" s="22">
        <v>59</v>
      </c>
      <c r="BH4" s="22">
        <v>60</v>
      </c>
      <c r="BI4" s="22">
        <v>61</v>
      </c>
      <c r="BJ4" s="22">
        <v>62</v>
      </c>
      <c r="BK4" s="22">
        <v>63</v>
      </c>
      <c r="BL4" s="22">
        <v>64</v>
      </c>
      <c r="BM4" s="22">
        <v>65</v>
      </c>
      <c r="BN4" s="22">
        <v>66</v>
      </c>
      <c r="BO4" s="22">
        <v>67</v>
      </c>
      <c r="BP4" s="22">
        <v>68</v>
      </c>
      <c r="BQ4" s="22">
        <v>69</v>
      </c>
      <c r="BR4" s="22">
        <v>70</v>
      </c>
      <c r="BS4" s="22">
        <v>71</v>
      </c>
      <c r="BT4" s="22">
        <v>72</v>
      </c>
      <c r="BU4" s="22">
        <v>73</v>
      </c>
      <c r="BV4" s="22">
        <v>74</v>
      </c>
      <c r="BW4" s="22">
        <v>75</v>
      </c>
      <c r="BX4" s="22">
        <v>76</v>
      </c>
      <c r="BY4" s="22">
        <v>77</v>
      </c>
      <c r="BZ4" s="22">
        <v>78</v>
      </c>
      <c r="CA4" s="22">
        <v>79</v>
      </c>
      <c r="CB4" s="22">
        <v>80</v>
      </c>
      <c r="CC4" s="22">
        <v>81</v>
      </c>
      <c r="CD4" s="22">
        <v>82</v>
      </c>
      <c r="CE4" s="22">
        <v>83</v>
      </c>
      <c r="CF4" s="22">
        <v>84</v>
      </c>
      <c r="CG4" s="22">
        <v>85</v>
      </c>
      <c r="CH4" s="22">
        <v>86</v>
      </c>
      <c r="CI4" s="22">
        <v>87</v>
      </c>
      <c r="CJ4" s="22">
        <v>88</v>
      </c>
      <c r="CK4" s="22">
        <v>89</v>
      </c>
      <c r="CL4" s="22">
        <v>90</v>
      </c>
      <c r="CM4" s="22">
        <v>91</v>
      </c>
      <c r="CN4" s="22">
        <v>92</v>
      </c>
      <c r="CO4" s="22">
        <v>93</v>
      </c>
      <c r="CP4" s="22">
        <v>94</v>
      </c>
      <c r="CQ4" s="22">
        <v>95</v>
      </c>
      <c r="CR4" s="22">
        <v>96</v>
      </c>
      <c r="CS4" s="22">
        <v>97</v>
      </c>
      <c r="CT4" s="22">
        <v>98</v>
      </c>
      <c r="CU4" s="22">
        <v>99</v>
      </c>
      <c r="CV4" s="22">
        <v>100</v>
      </c>
      <c r="CW4" s="22">
        <v>101</v>
      </c>
      <c r="CX4" s="22">
        <v>102</v>
      </c>
    </row>
    <row r="5" spans="1:102" ht="39.6">
      <c r="A5" s="27" t="s">
        <v>46</v>
      </c>
      <c r="B5" s="27" t="s">
        <v>945</v>
      </c>
      <c r="C5" s="27"/>
      <c r="D5" s="27"/>
      <c r="E5" s="27"/>
      <c r="F5" s="27" t="s">
        <v>497</v>
      </c>
      <c r="G5" s="27" t="s">
        <v>946</v>
      </c>
      <c r="H5" s="27" t="s">
        <v>946</v>
      </c>
      <c r="I5" s="27"/>
      <c r="J5" s="28" t="s">
        <v>947</v>
      </c>
      <c r="K5" s="27" t="s">
        <v>46</v>
      </c>
      <c r="L5" s="27"/>
      <c r="M5" s="27" t="s">
        <v>948</v>
      </c>
      <c r="N5" s="27" t="s">
        <v>491</v>
      </c>
      <c r="O5" s="27" t="s">
        <v>949</v>
      </c>
      <c r="P5" s="27" t="s">
        <v>950</v>
      </c>
      <c r="Q5" s="28" t="s">
        <v>951</v>
      </c>
      <c r="R5" s="28"/>
      <c r="S5" s="28"/>
      <c r="T5" s="28"/>
      <c r="U5" s="27" t="s">
        <v>271</v>
      </c>
      <c r="V5" s="27"/>
      <c r="W5" s="29" t="s">
        <v>952</v>
      </c>
      <c r="X5" s="27"/>
      <c r="Y5" s="27"/>
      <c r="Z5" s="27"/>
      <c r="AA5" s="28" t="s">
        <v>953</v>
      </c>
      <c r="AB5" s="27" t="s">
        <v>946</v>
      </c>
      <c r="AC5" s="27"/>
      <c r="AD5" s="27" t="s">
        <v>954</v>
      </c>
      <c r="AE5" s="27" t="s">
        <v>490</v>
      </c>
      <c r="AF5" s="27" t="s">
        <v>955</v>
      </c>
      <c r="AG5" s="27" t="s">
        <v>956</v>
      </c>
      <c r="AH5" s="28" t="s">
        <v>957</v>
      </c>
      <c r="AI5" s="28"/>
      <c r="AJ5" s="28"/>
      <c r="AK5" s="28"/>
      <c r="AL5" s="27" t="s">
        <v>271</v>
      </c>
      <c r="AM5" s="27"/>
      <c r="AN5" s="29" t="s">
        <v>952</v>
      </c>
      <c r="AO5" s="27"/>
      <c r="AP5" s="28"/>
      <c r="AQ5" s="28"/>
      <c r="AR5" s="27">
        <v>8</v>
      </c>
      <c r="AS5" s="27">
        <v>9</v>
      </c>
      <c r="AT5" s="28"/>
      <c r="AU5" s="27" t="s">
        <v>423</v>
      </c>
      <c r="AV5" s="27" t="s">
        <v>958</v>
      </c>
      <c r="AW5" s="27"/>
      <c r="AX5" s="27" t="s">
        <v>959</v>
      </c>
      <c r="AY5" s="27" t="s">
        <v>960</v>
      </c>
      <c r="AZ5" s="27"/>
      <c r="BA5" s="27" t="s">
        <v>46</v>
      </c>
      <c r="BB5" s="27" t="s">
        <v>961</v>
      </c>
      <c r="BC5" s="27"/>
      <c r="BD5" s="27"/>
      <c r="BE5" s="27"/>
      <c r="BF5" s="27"/>
      <c r="BG5" s="28"/>
      <c r="BH5" s="27"/>
      <c r="BI5" s="28"/>
      <c r="BJ5" s="28"/>
      <c r="BK5" s="28"/>
      <c r="BL5" s="28"/>
      <c r="BM5" s="27" t="s">
        <v>962</v>
      </c>
      <c r="BN5" s="27" t="s">
        <v>963</v>
      </c>
      <c r="BO5" s="27"/>
      <c r="BP5" s="27"/>
      <c r="BQ5" s="27"/>
      <c r="BR5" s="27" t="s">
        <v>964</v>
      </c>
      <c r="BS5" s="27"/>
      <c r="BT5" s="27" t="s">
        <v>965</v>
      </c>
      <c r="BU5" s="27" t="s">
        <v>966</v>
      </c>
      <c r="BV5" s="27" t="s">
        <v>48</v>
      </c>
      <c r="BW5" s="27" t="s">
        <v>967</v>
      </c>
      <c r="BX5" s="27" t="s">
        <v>967</v>
      </c>
      <c r="BY5" s="27"/>
      <c r="BZ5" s="27" t="s">
        <v>967</v>
      </c>
      <c r="CA5" s="27"/>
      <c r="CB5" s="27"/>
      <c r="CC5" s="27" t="s">
        <v>968</v>
      </c>
      <c r="CD5" s="27"/>
      <c r="CE5" s="27"/>
      <c r="CF5" s="27" t="s">
        <v>969</v>
      </c>
      <c r="CG5" s="27"/>
      <c r="CH5" s="27"/>
      <c r="CI5" s="27"/>
      <c r="CJ5" s="27"/>
      <c r="CK5" s="27"/>
      <c r="CL5" s="27"/>
      <c r="CM5" s="27" t="s">
        <v>970</v>
      </c>
      <c r="CN5" s="27"/>
      <c r="CO5" s="27" t="s">
        <v>971</v>
      </c>
      <c r="CP5" s="27"/>
      <c r="CQ5" s="27"/>
      <c r="CR5" s="27"/>
      <c r="CS5" s="27"/>
      <c r="CT5" s="27"/>
      <c r="CU5" s="27" t="s">
        <v>945</v>
      </c>
      <c r="CV5" s="27"/>
      <c r="CW5" s="27"/>
      <c r="CX5" s="27"/>
    </row>
  </sheetData>
  <autoFilter ref="A4:CX4"/>
  <mergeCells count="67">
    <mergeCell ref="CQ1:CU1"/>
    <mergeCell ref="CV1:CX1"/>
    <mergeCell ref="CQ2:CT2"/>
    <mergeCell ref="CU2:CU3"/>
    <mergeCell ref="CV2:CV3"/>
    <mergeCell ref="CW2:CW3"/>
    <mergeCell ref="CX2:CX3"/>
    <mergeCell ref="G2:G3"/>
    <mergeCell ref="A1:A3"/>
    <mergeCell ref="B1:D1"/>
    <mergeCell ref="E1:Z1"/>
    <mergeCell ref="AA1:AQ1"/>
    <mergeCell ref="J2:J3"/>
    <mergeCell ref="K2:K3"/>
    <mergeCell ref="M2:M3"/>
    <mergeCell ref="N2:N3"/>
    <mergeCell ref="B2:B3"/>
    <mergeCell ref="C2:C3"/>
    <mergeCell ref="D2:D3"/>
    <mergeCell ref="E2:E3"/>
    <mergeCell ref="F2:F3"/>
    <mergeCell ref="Y2:Y3"/>
    <mergeCell ref="O2:O3"/>
    <mergeCell ref="AR1:AT1"/>
    <mergeCell ref="AU1:BR1"/>
    <mergeCell ref="AR2:AR3"/>
    <mergeCell ref="AS2:AS3"/>
    <mergeCell ref="AW2:AW3"/>
    <mergeCell ref="AT2:AT3"/>
    <mergeCell ref="AU2:AU3"/>
    <mergeCell ref="AV2:AV3"/>
    <mergeCell ref="AX2:AX3"/>
    <mergeCell ref="AY2:AY3"/>
    <mergeCell ref="AZ2:AZ3"/>
    <mergeCell ref="BA2:BA3"/>
    <mergeCell ref="BG2:BL2"/>
    <mergeCell ref="BM2:BR2"/>
    <mergeCell ref="AG2:AG3"/>
    <mergeCell ref="AH2:AH3"/>
    <mergeCell ref="AI2:AN2"/>
    <mergeCell ref="AO2:AO3"/>
    <mergeCell ref="AP2:AP3"/>
    <mergeCell ref="BS1:CP1"/>
    <mergeCell ref="BB2:BB3"/>
    <mergeCell ref="BC2:BC3"/>
    <mergeCell ref="BD2:BD3"/>
    <mergeCell ref="BE2:BE3"/>
    <mergeCell ref="BF2:BF3"/>
    <mergeCell ref="BS2:BZ2"/>
    <mergeCell ref="CA2:CL2"/>
    <mergeCell ref="CM2:CN2"/>
    <mergeCell ref="H2:H3"/>
    <mergeCell ref="I2:I3"/>
    <mergeCell ref="L2:L3"/>
    <mergeCell ref="AC2:AC3"/>
    <mergeCell ref="CO2:CP2"/>
    <mergeCell ref="P2:P3"/>
    <mergeCell ref="Q2:Q3"/>
    <mergeCell ref="R2:W2"/>
    <mergeCell ref="X2:X3"/>
    <mergeCell ref="AQ2:AQ3"/>
    <mergeCell ref="Z2:Z3"/>
    <mergeCell ref="AA2:AA3"/>
    <mergeCell ref="AB2:AB3"/>
    <mergeCell ref="AD2:AD3"/>
    <mergeCell ref="AE2:AE3"/>
    <mergeCell ref="AF2:AF3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opLeftCell="A7" workbookViewId="0">
      <selection activeCell="B19" sqref="B19"/>
    </sheetView>
  </sheetViews>
  <sheetFormatPr defaultColWidth="9.109375" defaultRowHeight="16.8"/>
  <cols>
    <col min="1" max="1" width="7" style="3" customWidth="1"/>
    <col min="2" max="2" width="16.5546875" style="3" bestFit="1" customWidth="1"/>
    <col min="3" max="16384" width="9.109375" style="1"/>
  </cols>
  <sheetData>
    <row r="1" spans="1:2">
      <c r="A1" s="67" t="s">
        <v>483</v>
      </c>
      <c r="B1" s="68" t="s">
        <v>984</v>
      </c>
    </row>
    <row r="2" spans="1:2">
      <c r="A2" s="69">
        <v>1</v>
      </c>
      <c r="B2" s="69" t="s">
        <v>430</v>
      </c>
    </row>
    <row r="3" spans="1:2">
      <c r="A3" s="69">
        <v>2</v>
      </c>
      <c r="B3" s="69" t="s">
        <v>431</v>
      </c>
    </row>
    <row r="4" spans="1:2">
      <c r="A4" s="69">
        <v>3</v>
      </c>
      <c r="B4" s="69" t="s">
        <v>432</v>
      </c>
    </row>
    <row r="5" spans="1:2">
      <c r="A5" s="69">
        <v>4</v>
      </c>
      <c r="B5" s="69" t="s">
        <v>433</v>
      </c>
    </row>
    <row r="6" spans="1:2">
      <c r="A6" s="69">
        <v>5</v>
      </c>
      <c r="B6" s="69" t="s">
        <v>434</v>
      </c>
    </row>
    <row r="7" spans="1:2">
      <c r="A7" s="69">
        <v>6</v>
      </c>
      <c r="B7" s="69" t="s">
        <v>435</v>
      </c>
    </row>
    <row r="8" spans="1:2">
      <c r="A8" s="69">
        <v>7</v>
      </c>
      <c r="B8" s="69" t="s">
        <v>436</v>
      </c>
    </row>
    <row r="9" spans="1:2">
      <c r="A9" s="69">
        <v>8</v>
      </c>
      <c r="B9" s="69" t="s">
        <v>437</v>
      </c>
    </row>
    <row r="10" spans="1:2">
      <c r="A10" s="69">
        <v>9</v>
      </c>
      <c r="B10" s="69" t="s">
        <v>438</v>
      </c>
    </row>
    <row r="11" spans="1:2">
      <c r="A11" s="69">
        <v>10</v>
      </c>
      <c r="B11" s="69" t="s">
        <v>439</v>
      </c>
    </row>
    <row r="12" spans="1:2">
      <c r="A12" s="69">
        <v>11</v>
      </c>
      <c r="B12" s="69" t="s">
        <v>440</v>
      </c>
    </row>
    <row r="13" spans="1:2">
      <c r="A13" s="69">
        <v>12</v>
      </c>
      <c r="B13" s="69" t="s">
        <v>441</v>
      </c>
    </row>
    <row r="14" spans="1:2">
      <c r="A14" s="69">
        <v>13</v>
      </c>
      <c r="B14" s="69" t="s">
        <v>442</v>
      </c>
    </row>
    <row r="15" spans="1:2">
      <c r="A15" s="69">
        <v>14</v>
      </c>
      <c r="B15" s="69" t="s">
        <v>443</v>
      </c>
    </row>
    <row r="16" spans="1:2">
      <c r="A16" s="69">
        <v>15</v>
      </c>
      <c r="B16" s="69" t="s">
        <v>444</v>
      </c>
    </row>
    <row r="17" spans="1:2">
      <c r="A17" s="69">
        <v>16</v>
      </c>
      <c r="B17" s="69" t="s">
        <v>445</v>
      </c>
    </row>
    <row r="18" spans="1:2">
      <c r="A18" s="69">
        <v>17</v>
      </c>
      <c r="B18" s="69" t="s">
        <v>446</v>
      </c>
    </row>
    <row r="19" spans="1:2">
      <c r="A19" s="69">
        <v>18</v>
      </c>
      <c r="B19" s="69" t="s">
        <v>447</v>
      </c>
    </row>
    <row r="20" spans="1:2">
      <c r="A20" s="69">
        <v>19</v>
      </c>
      <c r="B20" s="69" t="s">
        <v>448</v>
      </c>
    </row>
    <row r="21" spans="1:2">
      <c r="A21" s="69">
        <v>20</v>
      </c>
      <c r="B21" s="69" t="s">
        <v>449</v>
      </c>
    </row>
    <row r="22" spans="1:2">
      <c r="A22" s="69">
        <v>21</v>
      </c>
      <c r="B22" s="69" t="s">
        <v>450</v>
      </c>
    </row>
    <row r="23" spans="1:2">
      <c r="A23" s="69">
        <v>22</v>
      </c>
      <c r="B23" s="69" t="s">
        <v>451</v>
      </c>
    </row>
    <row r="24" spans="1:2">
      <c r="A24" s="69">
        <v>23</v>
      </c>
      <c r="B24" s="69" t="s">
        <v>452</v>
      </c>
    </row>
    <row r="25" spans="1:2">
      <c r="A25" s="69">
        <v>24</v>
      </c>
      <c r="B25" s="69" t="s">
        <v>453</v>
      </c>
    </row>
    <row r="26" spans="1:2">
      <c r="A26" s="69">
        <v>25</v>
      </c>
      <c r="B26" s="69" t="s">
        <v>454</v>
      </c>
    </row>
    <row r="27" spans="1:2">
      <c r="A27" s="69">
        <v>26</v>
      </c>
      <c r="B27" s="69" t="s">
        <v>455</v>
      </c>
    </row>
    <row r="28" spans="1:2">
      <c r="A28" s="69">
        <v>27</v>
      </c>
      <c r="B28" s="69" t="s">
        <v>456</v>
      </c>
    </row>
    <row r="29" spans="1:2">
      <c r="A29" s="69">
        <v>28</v>
      </c>
      <c r="B29" s="69" t="s">
        <v>457</v>
      </c>
    </row>
    <row r="30" spans="1:2">
      <c r="A30" s="69">
        <v>29</v>
      </c>
      <c r="B30" s="69" t="s">
        <v>458</v>
      </c>
    </row>
    <row r="31" spans="1:2">
      <c r="A31" s="69">
        <v>30</v>
      </c>
      <c r="B31" s="69" t="s">
        <v>459</v>
      </c>
    </row>
    <row r="32" spans="1:2">
      <c r="A32" s="69">
        <v>31</v>
      </c>
      <c r="B32" s="69" t="s">
        <v>460</v>
      </c>
    </row>
    <row r="33" spans="1:2">
      <c r="A33" s="69">
        <v>32</v>
      </c>
      <c r="B33" s="69" t="s">
        <v>461</v>
      </c>
    </row>
    <row r="34" spans="1:2">
      <c r="A34" s="69">
        <v>33</v>
      </c>
      <c r="B34" s="69" t="s">
        <v>462</v>
      </c>
    </row>
    <row r="35" spans="1:2">
      <c r="A35" s="69">
        <v>34</v>
      </c>
      <c r="B35" s="69" t="s">
        <v>463</v>
      </c>
    </row>
    <row r="36" spans="1:2">
      <c r="A36" s="69">
        <v>35</v>
      </c>
      <c r="B36" s="69" t="s">
        <v>464</v>
      </c>
    </row>
    <row r="37" spans="1:2">
      <c r="A37" s="69">
        <v>36</v>
      </c>
      <c r="B37" s="69" t="s">
        <v>465</v>
      </c>
    </row>
    <row r="38" spans="1:2">
      <c r="A38" s="69">
        <v>37</v>
      </c>
      <c r="B38" s="69" t="s">
        <v>466</v>
      </c>
    </row>
    <row r="39" spans="1:2">
      <c r="A39" s="69">
        <v>38</v>
      </c>
      <c r="B39" s="69" t="s">
        <v>467</v>
      </c>
    </row>
    <row r="40" spans="1:2">
      <c r="A40" s="69">
        <v>39</v>
      </c>
      <c r="B40" s="69" t="s">
        <v>468</v>
      </c>
    </row>
    <row r="41" spans="1:2">
      <c r="A41" s="69">
        <v>40</v>
      </c>
      <c r="B41" s="69" t="s">
        <v>469</v>
      </c>
    </row>
    <row r="42" spans="1:2">
      <c r="A42" s="69">
        <v>41</v>
      </c>
      <c r="B42" s="69" t="s">
        <v>470</v>
      </c>
    </row>
    <row r="43" spans="1:2">
      <c r="A43" s="69">
        <v>42</v>
      </c>
      <c r="B43" s="69" t="s">
        <v>471</v>
      </c>
    </row>
    <row r="44" spans="1:2">
      <c r="A44" s="69">
        <v>43</v>
      </c>
      <c r="B44" s="69" t="s">
        <v>472</v>
      </c>
    </row>
    <row r="45" spans="1:2">
      <c r="A45" s="69">
        <v>44</v>
      </c>
      <c r="B45" s="69" t="s">
        <v>473</v>
      </c>
    </row>
    <row r="46" spans="1:2">
      <c r="A46" s="69">
        <v>45</v>
      </c>
      <c r="B46" s="69" t="s">
        <v>474</v>
      </c>
    </row>
    <row r="47" spans="1:2">
      <c r="A47" s="69">
        <v>46</v>
      </c>
      <c r="B47" s="69" t="s">
        <v>475</v>
      </c>
    </row>
    <row r="48" spans="1:2">
      <c r="A48" s="69">
        <v>47</v>
      </c>
      <c r="B48" s="69" t="s">
        <v>476</v>
      </c>
    </row>
    <row r="49" spans="1:2">
      <c r="A49" s="69">
        <v>48</v>
      </c>
      <c r="B49" s="69" t="s">
        <v>477</v>
      </c>
    </row>
    <row r="50" spans="1:2">
      <c r="A50" s="69">
        <v>49</v>
      </c>
      <c r="B50" s="69" t="s">
        <v>478</v>
      </c>
    </row>
    <row r="51" spans="1:2">
      <c r="A51" s="69">
        <v>50</v>
      </c>
      <c r="B51" s="69" t="s">
        <v>479</v>
      </c>
    </row>
    <row r="52" spans="1:2">
      <c r="A52" s="69">
        <v>51</v>
      </c>
      <c r="B52" s="69" t="s">
        <v>480</v>
      </c>
    </row>
    <row r="53" spans="1:2">
      <c r="A53" s="69">
        <v>52</v>
      </c>
      <c r="B53" s="69" t="s">
        <v>481</v>
      </c>
    </row>
    <row r="54" spans="1:2">
      <c r="A54" s="69">
        <v>53</v>
      </c>
      <c r="B54" s="69" t="s">
        <v>482</v>
      </c>
    </row>
    <row r="55" spans="1:2">
      <c r="A55" s="69">
        <v>54</v>
      </c>
      <c r="B55" s="69" t="s">
        <v>1054</v>
      </c>
    </row>
    <row r="56" spans="1:2">
      <c r="A56" s="69">
        <v>55</v>
      </c>
      <c r="B56" s="69" t="s">
        <v>1055</v>
      </c>
    </row>
    <row r="57" spans="1:2">
      <c r="A57" s="69">
        <v>99</v>
      </c>
      <c r="B57" s="69" t="s">
        <v>1056</v>
      </c>
    </row>
  </sheetData>
  <pageMargins left="0.7" right="0.7" top="0.75" bottom="0.75" header="0.3" footer="0.3"/>
  <pageSetup paperSize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00"/>
  <sheetViews>
    <sheetView workbookViewId="0"/>
  </sheetViews>
  <sheetFormatPr defaultColWidth="12.5546875" defaultRowHeight="15" customHeight="1"/>
  <cols>
    <col min="1" max="1" width="9.44140625" style="72" customWidth="1"/>
    <col min="2" max="2" width="44.109375" style="72" customWidth="1"/>
    <col min="3" max="6" width="12.5546875" style="72" customWidth="1"/>
    <col min="7" max="16384" width="12.5546875" style="72"/>
  </cols>
  <sheetData>
    <row r="1" spans="1:2" ht="15.75" customHeight="1">
      <c r="A1" s="70" t="s">
        <v>483</v>
      </c>
      <c r="B1" s="71" t="s">
        <v>1057</v>
      </c>
    </row>
    <row r="2" spans="1:2" ht="15.75" customHeight="1">
      <c r="A2" s="73" t="s">
        <v>1058</v>
      </c>
      <c r="B2" s="73" t="s">
        <v>1059</v>
      </c>
    </row>
    <row r="3" spans="1:2" ht="15.75" customHeight="1">
      <c r="A3" s="73" t="s">
        <v>1060</v>
      </c>
      <c r="B3" s="73" t="s">
        <v>1061</v>
      </c>
    </row>
    <row r="4" spans="1:2" ht="15.75" customHeight="1">
      <c r="A4" s="73" t="s">
        <v>1062</v>
      </c>
      <c r="B4" s="73" t="s">
        <v>1063</v>
      </c>
    </row>
    <row r="5" spans="1:2" ht="15.75" customHeight="1">
      <c r="A5" s="73" t="s">
        <v>1064</v>
      </c>
      <c r="B5" s="73" t="s">
        <v>1065</v>
      </c>
    </row>
    <row r="6" spans="1:2" ht="15.75" customHeight="1">
      <c r="A6" s="73" t="s">
        <v>1066</v>
      </c>
      <c r="B6" s="73" t="s">
        <v>1067</v>
      </c>
    </row>
    <row r="7" spans="1:2" ht="15.75" customHeight="1">
      <c r="A7" s="73" t="s">
        <v>1068</v>
      </c>
      <c r="B7" s="73" t="s">
        <v>1069</v>
      </c>
    </row>
    <row r="8" spans="1:2" ht="15.75" customHeight="1">
      <c r="A8" s="73" t="s">
        <v>1070</v>
      </c>
      <c r="B8" s="73" t="s">
        <v>1071</v>
      </c>
    </row>
    <row r="9" spans="1:2" ht="15.75" customHeight="1">
      <c r="A9" s="73" t="s">
        <v>1072</v>
      </c>
      <c r="B9" s="73" t="s">
        <v>1073</v>
      </c>
    </row>
    <row r="10" spans="1:2" ht="15.75" customHeight="1">
      <c r="A10" s="73" t="s">
        <v>1074</v>
      </c>
      <c r="B10" s="73" t="s">
        <v>1075</v>
      </c>
    </row>
    <row r="11" spans="1:2" ht="15.75" customHeight="1">
      <c r="A11" s="73" t="s">
        <v>1076</v>
      </c>
      <c r="B11" s="73" t="s">
        <v>1077</v>
      </c>
    </row>
    <row r="12" spans="1:2" ht="15.75" customHeight="1">
      <c r="A12" s="73" t="s">
        <v>1078</v>
      </c>
      <c r="B12" s="73" t="s">
        <v>1079</v>
      </c>
    </row>
    <row r="13" spans="1:2" ht="15.75" customHeight="1">
      <c r="A13" s="73" t="s">
        <v>1080</v>
      </c>
      <c r="B13" s="73" t="s">
        <v>1081</v>
      </c>
    </row>
    <row r="14" spans="1:2" ht="15.75" customHeight="1">
      <c r="A14" s="73" t="s">
        <v>1082</v>
      </c>
      <c r="B14" s="73" t="s">
        <v>1083</v>
      </c>
    </row>
    <row r="15" spans="1:2" ht="15.75" customHeight="1">
      <c r="A15" s="73" t="s">
        <v>1084</v>
      </c>
      <c r="B15" s="73" t="s">
        <v>1085</v>
      </c>
    </row>
    <row r="16" spans="1:2" ht="15.75" customHeight="1">
      <c r="A16" s="73" t="s">
        <v>1086</v>
      </c>
      <c r="B16" s="73" t="s">
        <v>1087</v>
      </c>
    </row>
    <row r="17" spans="1:2" ht="15.75" customHeight="1">
      <c r="A17" s="73" t="s">
        <v>1088</v>
      </c>
      <c r="B17" s="73" t="s">
        <v>1089</v>
      </c>
    </row>
    <row r="18" spans="1:2" ht="15.75" customHeight="1">
      <c r="A18" s="73" t="s">
        <v>1090</v>
      </c>
      <c r="B18" s="73" t="s">
        <v>1091</v>
      </c>
    </row>
    <row r="19" spans="1:2" ht="15.75" customHeight="1">
      <c r="A19" s="73" t="s">
        <v>1092</v>
      </c>
      <c r="B19" s="73" t="s">
        <v>1093</v>
      </c>
    </row>
    <row r="20" spans="1:2" ht="15.75" customHeight="1">
      <c r="A20" s="73" t="s">
        <v>1094</v>
      </c>
      <c r="B20" s="73" t="s">
        <v>1095</v>
      </c>
    </row>
    <row r="21" spans="1:2" ht="15.75" customHeight="1">
      <c r="A21" s="73" t="s">
        <v>1096</v>
      </c>
      <c r="B21" s="73" t="s">
        <v>1097</v>
      </c>
    </row>
    <row r="22" spans="1:2" ht="15.75" customHeight="1">
      <c r="A22" s="73" t="s">
        <v>1098</v>
      </c>
      <c r="B22" s="73" t="s">
        <v>1099</v>
      </c>
    </row>
    <row r="23" spans="1:2" ht="15.75" customHeight="1">
      <c r="A23" s="73" t="s">
        <v>1100</v>
      </c>
      <c r="B23" s="73" t="s">
        <v>1101</v>
      </c>
    </row>
    <row r="24" spans="1:2" ht="15.75" customHeight="1">
      <c r="A24" s="73" t="s">
        <v>1102</v>
      </c>
      <c r="B24" s="73" t="s">
        <v>1103</v>
      </c>
    </row>
    <row r="25" spans="1:2" ht="15.75" customHeight="1">
      <c r="A25" s="73" t="s">
        <v>1104</v>
      </c>
      <c r="B25" s="73" t="s">
        <v>1105</v>
      </c>
    </row>
    <row r="26" spans="1:2" ht="15.75" customHeight="1">
      <c r="A26" s="73" t="s">
        <v>1106</v>
      </c>
      <c r="B26" s="73" t="s">
        <v>1107</v>
      </c>
    </row>
    <row r="27" spans="1:2" ht="15.75" customHeight="1">
      <c r="A27" s="73" t="s">
        <v>1108</v>
      </c>
      <c r="B27" s="73" t="s">
        <v>1109</v>
      </c>
    </row>
    <row r="28" spans="1:2" ht="15.75" customHeight="1">
      <c r="A28" s="73" t="s">
        <v>1110</v>
      </c>
      <c r="B28" s="73" t="s">
        <v>1111</v>
      </c>
    </row>
    <row r="29" spans="1:2" ht="15.75" customHeight="1">
      <c r="A29" s="73" t="s">
        <v>1112</v>
      </c>
      <c r="B29" s="73" t="s">
        <v>1113</v>
      </c>
    </row>
    <row r="30" spans="1:2" ht="15.75" customHeight="1">
      <c r="A30" s="73" t="s">
        <v>1114</v>
      </c>
      <c r="B30" s="73" t="s">
        <v>1115</v>
      </c>
    </row>
    <row r="31" spans="1:2" ht="15.75" customHeight="1">
      <c r="A31" s="73" t="s">
        <v>1116</v>
      </c>
      <c r="B31" s="73" t="s">
        <v>1117</v>
      </c>
    </row>
    <row r="32" spans="1:2" ht="15.75" customHeight="1">
      <c r="A32" s="73" t="s">
        <v>1118</v>
      </c>
      <c r="B32" s="73" t="s">
        <v>1119</v>
      </c>
    </row>
    <row r="33" spans="1:2" ht="15.75" customHeight="1">
      <c r="A33" s="73" t="s">
        <v>1120</v>
      </c>
      <c r="B33" s="73" t="s">
        <v>1121</v>
      </c>
    </row>
    <row r="34" spans="1:2" ht="15.75" customHeight="1">
      <c r="A34" s="73" t="s">
        <v>1122</v>
      </c>
      <c r="B34" s="73" t="s">
        <v>1123</v>
      </c>
    </row>
    <row r="35" spans="1:2" ht="15.75" customHeight="1">
      <c r="A35" s="73" t="s">
        <v>1124</v>
      </c>
      <c r="B35" s="73" t="s">
        <v>1125</v>
      </c>
    </row>
    <row r="36" spans="1:2" ht="15.75" customHeight="1">
      <c r="A36" s="73" t="s">
        <v>1126</v>
      </c>
      <c r="B36" s="73" t="s">
        <v>1127</v>
      </c>
    </row>
    <row r="37" spans="1:2" ht="15.75" customHeight="1">
      <c r="A37" s="73" t="s">
        <v>1128</v>
      </c>
      <c r="B37" s="73" t="s">
        <v>1129</v>
      </c>
    </row>
    <row r="38" spans="1:2" ht="15.75" customHeight="1">
      <c r="A38" s="73" t="s">
        <v>402</v>
      </c>
      <c r="B38" s="73" t="s">
        <v>1130</v>
      </c>
    </row>
    <row r="39" spans="1:2" ht="15.75" customHeight="1">
      <c r="A39" s="73" t="s">
        <v>1131</v>
      </c>
      <c r="B39" s="73" t="s">
        <v>1132</v>
      </c>
    </row>
    <row r="40" spans="1:2" ht="15.75" customHeight="1">
      <c r="A40" s="73" t="s">
        <v>1133</v>
      </c>
      <c r="B40" s="73" t="s">
        <v>1134</v>
      </c>
    </row>
    <row r="41" spans="1:2" ht="15.75" customHeight="1">
      <c r="A41" s="73" t="s">
        <v>1135</v>
      </c>
      <c r="B41" s="73" t="s">
        <v>1136</v>
      </c>
    </row>
    <row r="42" spans="1:2" ht="15.75" customHeight="1">
      <c r="A42" s="73" t="s">
        <v>1137</v>
      </c>
      <c r="B42" s="73" t="s">
        <v>1138</v>
      </c>
    </row>
    <row r="43" spans="1:2" ht="15.75" customHeight="1">
      <c r="A43" s="73" t="s">
        <v>1139</v>
      </c>
      <c r="B43" s="73" t="s">
        <v>1140</v>
      </c>
    </row>
    <row r="44" spans="1:2" ht="15.75" customHeight="1">
      <c r="A44" s="73" t="s">
        <v>1141</v>
      </c>
      <c r="B44" s="73" t="s">
        <v>1142</v>
      </c>
    </row>
    <row r="45" spans="1:2" ht="15.75" customHeight="1">
      <c r="A45" s="73" t="s">
        <v>1026</v>
      </c>
      <c r="B45" s="73" t="s">
        <v>1143</v>
      </c>
    </row>
    <row r="46" spans="1:2" ht="15.75" customHeight="1">
      <c r="A46" s="73" t="s">
        <v>1144</v>
      </c>
      <c r="B46" s="73" t="s">
        <v>1145</v>
      </c>
    </row>
    <row r="47" spans="1:2" ht="15.75" customHeight="1">
      <c r="A47" s="73" t="s">
        <v>1146</v>
      </c>
      <c r="B47" s="73" t="s">
        <v>1147</v>
      </c>
    </row>
    <row r="48" spans="1:2" ht="15.75" customHeight="1">
      <c r="A48" s="73" t="s">
        <v>1148</v>
      </c>
      <c r="B48" s="73" t="s">
        <v>1149</v>
      </c>
    </row>
    <row r="49" spans="1:2" ht="15.75" customHeight="1">
      <c r="A49" s="73" t="s">
        <v>1150</v>
      </c>
      <c r="B49" s="73" t="s">
        <v>1151</v>
      </c>
    </row>
    <row r="50" spans="1:2" ht="15.75" customHeight="1">
      <c r="A50" s="73" t="s">
        <v>1152</v>
      </c>
      <c r="B50" s="73" t="s">
        <v>1153</v>
      </c>
    </row>
    <row r="51" spans="1:2" ht="15.75" customHeight="1">
      <c r="A51" s="73" t="s">
        <v>1154</v>
      </c>
      <c r="B51" s="73" t="s">
        <v>1155</v>
      </c>
    </row>
    <row r="52" spans="1:2" ht="15.75" customHeight="1">
      <c r="A52" s="73" t="s">
        <v>1156</v>
      </c>
      <c r="B52" s="73" t="s">
        <v>1157</v>
      </c>
    </row>
    <row r="53" spans="1:2" ht="15.75" customHeight="1">
      <c r="A53" s="73" t="s">
        <v>1158</v>
      </c>
      <c r="B53" s="73" t="s">
        <v>1159</v>
      </c>
    </row>
    <row r="54" spans="1:2" ht="15.75" customHeight="1">
      <c r="A54" s="73" t="s">
        <v>1160</v>
      </c>
      <c r="B54" s="73" t="s">
        <v>1161</v>
      </c>
    </row>
    <row r="55" spans="1:2" ht="15.75" customHeight="1">
      <c r="A55" s="73" t="s">
        <v>1162</v>
      </c>
      <c r="B55" s="73" t="s">
        <v>1163</v>
      </c>
    </row>
    <row r="56" spans="1:2" ht="15.75" customHeight="1">
      <c r="A56" s="73" t="s">
        <v>1164</v>
      </c>
      <c r="B56" s="73" t="s">
        <v>1165</v>
      </c>
    </row>
    <row r="57" spans="1:2" ht="15.75" customHeight="1">
      <c r="A57" s="73" t="s">
        <v>1166</v>
      </c>
      <c r="B57" s="73" t="s">
        <v>1167</v>
      </c>
    </row>
    <row r="58" spans="1:2" ht="15.75" customHeight="1">
      <c r="A58" s="73" t="s">
        <v>1168</v>
      </c>
      <c r="B58" s="73" t="s">
        <v>1169</v>
      </c>
    </row>
    <row r="59" spans="1:2" ht="15.75" customHeight="1">
      <c r="A59" s="73" t="s">
        <v>1170</v>
      </c>
      <c r="B59" s="73" t="s">
        <v>1171</v>
      </c>
    </row>
    <row r="60" spans="1:2" ht="15.75" customHeight="1">
      <c r="A60" s="73" t="s">
        <v>1172</v>
      </c>
      <c r="B60" s="73" t="s">
        <v>1173</v>
      </c>
    </row>
    <row r="61" spans="1:2" ht="15.75" customHeight="1">
      <c r="A61" s="73" t="s">
        <v>1174</v>
      </c>
      <c r="B61" s="73" t="s">
        <v>1175</v>
      </c>
    </row>
    <row r="62" spans="1:2" ht="15.75" customHeight="1">
      <c r="A62" s="73" t="s">
        <v>1176</v>
      </c>
      <c r="B62" s="73" t="s">
        <v>1177</v>
      </c>
    </row>
    <row r="63" spans="1:2" ht="15.75" customHeight="1">
      <c r="A63" s="73" t="s">
        <v>1178</v>
      </c>
      <c r="B63" s="73" t="s">
        <v>1179</v>
      </c>
    </row>
    <row r="64" spans="1:2" ht="15.75" customHeight="1">
      <c r="A64" s="73" t="s">
        <v>1180</v>
      </c>
      <c r="B64" s="73" t="s">
        <v>1181</v>
      </c>
    </row>
    <row r="65" spans="1:2" ht="15.75" customHeight="1">
      <c r="A65" s="73" t="s">
        <v>1182</v>
      </c>
      <c r="B65" s="73" t="s">
        <v>1183</v>
      </c>
    </row>
    <row r="66" spans="1:2" ht="15.75" customHeight="1">
      <c r="A66" s="73" t="s">
        <v>1184</v>
      </c>
      <c r="B66" s="73" t="s">
        <v>1185</v>
      </c>
    </row>
    <row r="67" spans="1:2" ht="15.75" customHeight="1">
      <c r="A67" s="73" t="s">
        <v>1186</v>
      </c>
      <c r="B67" s="73" t="s">
        <v>1187</v>
      </c>
    </row>
    <row r="68" spans="1:2" ht="15.75" customHeight="1">
      <c r="A68" s="73" t="s">
        <v>1188</v>
      </c>
      <c r="B68" s="73" t="s">
        <v>1189</v>
      </c>
    </row>
    <row r="69" spans="1:2" ht="15.75" customHeight="1">
      <c r="A69" s="73" t="s">
        <v>1190</v>
      </c>
      <c r="B69" s="73" t="s">
        <v>1191</v>
      </c>
    </row>
    <row r="70" spans="1:2" ht="15.75" customHeight="1">
      <c r="A70" s="73" t="s">
        <v>1192</v>
      </c>
      <c r="B70" s="73" t="s">
        <v>1193</v>
      </c>
    </row>
    <row r="71" spans="1:2" ht="15.75" customHeight="1">
      <c r="A71" s="73" t="s">
        <v>1194</v>
      </c>
      <c r="B71" s="73" t="s">
        <v>1195</v>
      </c>
    </row>
    <row r="72" spans="1:2" ht="15.75" customHeight="1">
      <c r="A72" s="73" t="s">
        <v>1196</v>
      </c>
      <c r="B72" s="73" t="s">
        <v>1197</v>
      </c>
    </row>
    <row r="73" spans="1:2" ht="15.75" customHeight="1">
      <c r="A73" s="73" t="s">
        <v>1198</v>
      </c>
      <c r="B73" s="73" t="s">
        <v>1199</v>
      </c>
    </row>
    <row r="74" spans="1:2" ht="15.75" customHeight="1">
      <c r="A74" s="73" t="s">
        <v>1200</v>
      </c>
      <c r="B74" s="73" t="s">
        <v>1201</v>
      </c>
    </row>
    <row r="75" spans="1:2" ht="15.75" customHeight="1">
      <c r="A75" s="73" t="s">
        <v>1202</v>
      </c>
      <c r="B75" s="73" t="s">
        <v>1203</v>
      </c>
    </row>
    <row r="76" spans="1:2" ht="15.75" customHeight="1">
      <c r="A76" s="73" t="s">
        <v>1204</v>
      </c>
      <c r="B76" s="73" t="s">
        <v>1205</v>
      </c>
    </row>
    <row r="77" spans="1:2" ht="15.75" customHeight="1">
      <c r="A77" s="73" t="s">
        <v>1206</v>
      </c>
      <c r="B77" s="73" t="s">
        <v>1207</v>
      </c>
    </row>
    <row r="78" spans="1:2" ht="15.75" customHeight="1">
      <c r="A78" s="73" t="s">
        <v>1208</v>
      </c>
      <c r="B78" s="73" t="s">
        <v>1209</v>
      </c>
    </row>
    <row r="79" spans="1:2" ht="15.75" customHeight="1">
      <c r="A79" s="73" t="s">
        <v>1210</v>
      </c>
      <c r="B79" s="73" t="s">
        <v>1211</v>
      </c>
    </row>
    <row r="80" spans="1:2" ht="15.75" customHeight="1">
      <c r="A80" s="73" t="s">
        <v>1212</v>
      </c>
      <c r="B80" s="73" t="s">
        <v>1213</v>
      </c>
    </row>
    <row r="81" spans="1:2" ht="15.75" customHeight="1">
      <c r="A81" s="73" t="s">
        <v>1214</v>
      </c>
      <c r="B81" s="73" t="s">
        <v>1215</v>
      </c>
    </row>
    <row r="82" spans="1:2" ht="15.75" customHeight="1">
      <c r="A82" s="73" t="s">
        <v>1216</v>
      </c>
      <c r="B82" s="73" t="s">
        <v>1217</v>
      </c>
    </row>
    <row r="83" spans="1:2" ht="15.75" customHeight="1">
      <c r="A83" s="73" t="s">
        <v>1218</v>
      </c>
      <c r="B83" s="73" t="s">
        <v>1219</v>
      </c>
    </row>
    <row r="84" spans="1:2" ht="15.75" customHeight="1">
      <c r="A84" s="73" t="s">
        <v>1220</v>
      </c>
      <c r="B84" s="73" t="s">
        <v>1221</v>
      </c>
    </row>
    <row r="85" spans="1:2" ht="15.75" customHeight="1">
      <c r="A85" s="73" t="s">
        <v>1222</v>
      </c>
      <c r="B85" s="73" t="s">
        <v>1223</v>
      </c>
    </row>
    <row r="86" spans="1:2" ht="15.75" customHeight="1">
      <c r="A86" s="73" t="s">
        <v>1224</v>
      </c>
      <c r="B86" s="73" t="s">
        <v>1225</v>
      </c>
    </row>
    <row r="87" spans="1:2" ht="15.75" customHeight="1">
      <c r="A87" s="73" t="s">
        <v>1226</v>
      </c>
      <c r="B87" s="73" t="s">
        <v>1227</v>
      </c>
    </row>
    <row r="88" spans="1:2" ht="15.75" customHeight="1">
      <c r="A88" s="73" t="s">
        <v>1228</v>
      </c>
      <c r="B88" s="73" t="s">
        <v>1229</v>
      </c>
    </row>
    <row r="89" spans="1:2" ht="15.75" customHeight="1">
      <c r="A89" s="73" t="s">
        <v>1230</v>
      </c>
      <c r="B89" s="73" t="s">
        <v>1231</v>
      </c>
    </row>
    <row r="90" spans="1:2" ht="15.75" customHeight="1">
      <c r="A90" s="73" t="s">
        <v>1232</v>
      </c>
      <c r="B90" s="73" t="s">
        <v>1233</v>
      </c>
    </row>
    <row r="91" spans="1:2" ht="15.75" customHeight="1">
      <c r="A91" s="73" t="s">
        <v>1234</v>
      </c>
      <c r="B91" s="73" t="s">
        <v>1235</v>
      </c>
    </row>
    <row r="92" spans="1:2" ht="15.75" customHeight="1">
      <c r="A92" s="73" t="s">
        <v>1236</v>
      </c>
      <c r="B92" s="73" t="s">
        <v>1237</v>
      </c>
    </row>
    <row r="93" spans="1:2" ht="15.75" customHeight="1">
      <c r="A93" s="73" t="s">
        <v>1238</v>
      </c>
      <c r="B93" s="73" t="s">
        <v>1239</v>
      </c>
    </row>
    <row r="94" spans="1:2" ht="15.75" customHeight="1">
      <c r="A94" s="73" t="s">
        <v>1240</v>
      </c>
      <c r="B94" s="73" t="s">
        <v>1241</v>
      </c>
    </row>
    <row r="95" spans="1:2" ht="15.75" customHeight="1">
      <c r="A95" s="73" t="s">
        <v>1242</v>
      </c>
      <c r="B95" s="73" t="s">
        <v>1243</v>
      </c>
    </row>
    <row r="96" spans="1:2" ht="15.75" customHeight="1">
      <c r="A96" s="73" t="s">
        <v>1244</v>
      </c>
      <c r="B96" s="73" t="s">
        <v>1245</v>
      </c>
    </row>
    <row r="97" spans="1:2" ht="15.75" customHeight="1">
      <c r="A97" s="73" t="s">
        <v>1246</v>
      </c>
      <c r="B97" s="73" t="s">
        <v>1247</v>
      </c>
    </row>
    <row r="98" spans="1:2" ht="15.75" customHeight="1">
      <c r="A98" s="73" t="s">
        <v>1248</v>
      </c>
      <c r="B98" s="73" t="s">
        <v>1249</v>
      </c>
    </row>
    <row r="99" spans="1:2" ht="15.75" customHeight="1">
      <c r="A99" s="73" t="s">
        <v>1250</v>
      </c>
      <c r="B99" s="73" t="s">
        <v>1251</v>
      </c>
    </row>
    <row r="100" spans="1:2" ht="15.75" customHeight="1">
      <c r="A100" s="73" t="s">
        <v>1252</v>
      </c>
      <c r="B100" s="73" t="s">
        <v>1253</v>
      </c>
    </row>
    <row r="101" spans="1:2" ht="15.75" customHeight="1">
      <c r="A101" s="73" t="s">
        <v>1254</v>
      </c>
      <c r="B101" s="73" t="s">
        <v>1255</v>
      </c>
    </row>
    <row r="102" spans="1:2" ht="15.75" customHeight="1">
      <c r="A102" s="73" t="s">
        <v>1256</v>
      </c>
      <c r="B102" s="73" t="s">
        <v>1257</v>
      </c>
    </row>
    <row r="103" spans="1:2" ht="15.75" customHeight="1">
      <c r="A103" s="73" t="s">
        <v>1258</v>
      </c>
      <c r="B103" s="73" t="s">
        <v>1259</v>
      </c>
    </row>
    <row r="104" spans="1:2" ht="15.75" customHeight="1">
      <c r="A104" s="73" t="s">
        <v>1260</v>
      </c>
      <c r="B104" s="73" t="s">
        <v>1261</v>
      </c>
    </row>
    <row r="105" spans="1:2" ht="15.75" customHeight="1">
      <c r="A105" s="73" t="s">
        <v>1262</v>
      </c>
      <c r="B105" s="73" t="s">
        <v>1263</v>
      </c>
    </row>
    <row r="106" spans="1:2" ht="15.75" customHeight="1">
      <c r="A106" s="73" t="s">
        <v>1264</v>
      </c>
      <c r="B106" s="73" t="s">
        <v>1265</v>
      </c>
    </row>
    <row r="107" spans="1:2" ht="15.75" customHeight="1">
      <c r="A107" s="73" t="s">
        <v>1266</v>
      </c>
      <c r="B107" s="73" t="s">
        <v>1267</v>
      </c>
    </row>
    <row r="108" spans="1:2" ht="15.75" customHeight="1">
      <c r="A108" s="73" t="s">
        <v>1268</v>
      </c>
      <c r="B108" s="73" t="s">
        <v>1269</v>
      </c>
    </row>
    <row r="109" spans="1:2" ht="15.75" customHeight="1">
      <c r="A109" s="73" t="s">
        <v>1270</v>
      </c>
      <c r="B109" s="73" t="s">
        <v>1271</v>
      </c>
    </row>
    <row r="110" spans="1:2" ht="15.75" customHeight="1">
      <c r="A110" s="73" t="s">
        <v>1272</v>
      </c>
      <c r="B110" s="73" t="s">
        <v>1273</v>
      </c>
    </row>
    <row r="111" spans="1:2" ht="15.75" customHeight="1">
      <c r="A111" s="73" t="s">
        <v>1274</v>
      </c>
      <c r="B111" s="73" t="s">
        <v>1275</v>
      </c>
    </row>
    <row r="112" spans="1:2" ht="15.75" customHeight="1">
      <c r="A112" s="73" t="s">
        <v>1276</v>
      </c>
      <c r="B112" s="73" t="s">
        <v>1277</v>
      </c>
    </row>
    <row r="113" spans="1:2" ht="15.75" customHeight="1">
      <c r="A113" s="73" t="s">
        <v>1278</v>
      </c>
      <c r="B113" s="73" t="s">
        <v>1279</v>
      </c>
    </row>
    <row r="114" spans="1:2" ht="15.75" customHeight="1">
      <c r="A114" s="73" t="s">
        <v>1280</v>
      </c>
      <c r="B114" s="73" t="s">
        <v>1281</v>
      </c>
    </row>
    <row r="115" spans="1:2" ht="15.75" customHeight="1">
      <c r="A115" s="73" t="s">
        <v>1282</v>
      </c>
      <c r="B115" s="73" t="s">
        <v>1283</v>
      </c>
    </row>
    <row r="116" spans="1:2" ht="15.75" customHeight="1">
      <c r="A116" s="73" t="s">
        <v>1284</v>
      </c>
      <c r="B116" s="73" t="s">
        <v>1285</v>
      </c>
    </row>
    <row r="117" spans="1:2" ht="15.75" customHeight="1">
      <c r="A117" s="73" t="s">
        <v>1286</v>
      </c>
      <c r="B117" s="73" t="s">
        <v>1287</v>
      </c>
    </row>
    <row r="118" spans="1:2" ht="15.75" customHeight="1">
      <c r="A118" s="73" t="s">
        <v>1288</v>
      </c>
      <c r="B118" s="73" t="s">
        <v>1289</v>
      </c>
    </row>
    <row r="119" spans="1:2" ht="15.75" customHeight="1">
      <c r="A119" s="73" t="s">
        <v>1290</v>
      </c>
      <c r="B119" s="73" t="s">
        <v>1291</v>
      </c>
    </row>
    <row r="120" spans="1:2" ht="15.75" customHeight="1">
      <c r="A120" s="73" t="s">
        <v>1292</v>
      </c>
      <c r="B120" s="73" t="s">
        <v>1293</v>
      </c>
    </row>
    <row r="121" spans="1:2" ht="15.75" customHeight="1">
      <c r="A121" s="73" t="s">
        <v>1294</v>
      </c>
      <c r="B121" s="73" t="s">
        <v>1295</v>
      </c>
    </row>
    <row r="122" spans="1:2" ht="15.75" customHeight="1">
      <c r="A122" s="73" t="s">
        <v>1296</v>
      </c>
      <c r="B122" s="73" t="s">
        <v>1297</v>
      </c>
    </row>
    <row r="123" spans="1:2" ht="15.75" customHeight="1">
      <c r="A123" s="73" t="s">
        <v>1298</v>
      </c>
      <c r="B123" s="73" t="s">
        <v>1299</v>
      </c>
    </row>
    <row r="124" spans="1:2" ht="15.75" customHeight="1">
      <c r="A124" s="73" t="s">
        <v>1300</v>
      </c>
      <c r="B124" s="73" t="s">
        <v>1301</v>
      </c>
    </row>
    <row r="125" spans="1:2" ht="15.75" customHeight="1">
      <c r="A125" s="73" t="s">
        <v>1302</v>
      </c>
      <c r="B125" s="73" t="s">
        <v>1303</v>
      </c>
    </row>
    <row r="126" spans="1:2" ht="15.75" customHeight="1">
      <c r="A126" s="73" t="s">
        <v>1304</v>
      </c>
      <c r="B126" s="73" t="s">
        <v>1305</v>
      </c>
    </row>
    <row r="127" spans="1:2" ht="15.75" customHeight="1">
      <c r="A127" s="73" t="s">
        <v>1306</v>
      </c>
      <c r="B127" s="73" t="s">
        <v>1307</v>
      </c>
    </row>
    <row r="128" spans="1:2" ht="15.75" customHeight="1">
      <c r="A128" s="73" t="s">
        <v>1308</v>
      </c>
      <c r="B128" s="73" t="s">
        <v>1309</v>
      </c>
    </row>
    <row r="129" spans="1:2" ht="15.75" customHeight="1">
      <c r="A129" s="73" t="s">
        <v>1310</v>
      </c>
      <c r="B129" s="73" t="s">
        <v>1311</v>
      </c>
    </row>
    <row r="130" spans="1:2" ht="15.75" customHeight="1">
      <c r="A130" s="73" t="s">
        <v>1312</v>
      </c>
      <c r="B130" s="73" t="s">
        <v>1313</v>
      </c>
    </row>
    <row r="131" spans="1:2" ht="15.75" customHeight="1">
      <c r="A131" s="73" t="s">
        <v>1314</v>
      </c>
      <c r="B131" s="73" t="s">
        <v>1315</v>
      </c>
    </row>
    <row r="132" spans="1:2" ht="15.75" customHeight="1">
      <c r="A132" s="73" t="s">
        <v>1316</v>
      </c>
      <c r="B132" s="73" t="s">
        <v>1317</v>
      </c>
    </row>
    <row r="133" spans="1:2" ht="15.75" customHeight="1">
      <c r="A133" s="73" t="s">
        <v>1318</v>
      </c>
      <c r="B133" s="73" t="s">
        <v>1319</v>
      </c>
    </row>
    <row r="134" spans="1:2" ht="15.75" customHeight="1">
      <c r="A134" s="73" t="s">
        <v>1320</v>
      </c>
      <c r="B134" s="73" t="s">
        <v>1321</v>
      </c>
    </row>
    <row r="135" spans="1:2" ht="15.75" customHeight="1">
      <c r="A135" s="73" t="s">
        <v>1322</v>
      </c>
      <c r="B135" s="73" t="s">
        <v>1323</v>
      </c>
    </row>
    <row r="136" spans="1:2" ht="15.75" customHeight="1">
      <c r="A136" s="73" t="s">
        <v>1324</v>
      </c>
      <c r="B136" s="73" t="s">
        <v>1325</v>
      </c>
    </row>
    <row r="137" spans="1:2" ht="15.75" customHeight="1">
      <c r="A137" s="73" t="s">
        <v>1326</v>
      </c>
      <c r="B137" s="73" t="s">
        <v>1327</v>
      </c>
    </row>
    <row r="138" spans="1:2" ht="15.75" customHeight="1">
      <c r="A138" s="73" t="s">
        <v>1328</v>
      </c>
      <c r="B138" s="73" t="s">
        <v>1329</v>
      </c>
    </row>
    <row r="139" spans="1:2" ht="15.75" customHeight="1">
      <c r="A139" s="73" t="s">
        <v>1330</v>
      </c>
      <c r="B139" s="73" t="s">
        <v>1331</v>
      </c>
    </row>
    <row r="140" spans="1:2" ht="15.75" customHeight="1">
      <c r="A140" s="73" t="s">
        <v>1332</v>
      </c>
      <c r="B140" s="73" t="s">
        <v>1333</v>
      </c>
    </row>
    <row r="141" spans="1:2" ht="15.75" customHeight="1">
      <c r="A141" s="73" t="s">
        <v>1334</v>
      </c>
      <c r="B141" s="73" t="s">
        <v>1335</v>
      </c>
    </row>
    <row r="142" spans="1:2" ht="15.75" customHeight="1">
      <c r="A142" s="73" t="s">
        <v>1336</v>
      </c>
      <c r="B142" s="73" t="s">
        <v>1337</v>
      </c>
    </row>
    <row r="143" spans="1:2" ht="15.75" customHeight="1">
      <c r="A143" s="73" t="s">
        <v>1338</v>
      </c>
      <c r="B143" s="73" t="s">
        <v>1339</v>
      </c>
    </row>
    <row r="144" spans="1:2" ht="15.75" customHeight="1">
      <c r="A144" s="73" t="s">
        <v>1340</v>
      </c>
      <c r="B144" s="73" t="s">
        <v>1341</v>
      </c>
    </row>
    <row r="145" spans="1:2" ht="15.75" customHeight="1">
      <c r="A145" s="73" t="s">
        <v>1342</v>
      </c>
      <c r="B145" s="73" t="s">
        <v>1343</v>
      </c>
    </row>
    <row r="146" spans="1:2" ht="15.75" customHeight="1">
      <c r="A146" s="73" t="s">
        <v>1344</v>
      </c>
      <c r="B146" s="73" t="s">
        <v>1345</v>
      </c>
    </row>
    <row r="147" spans="1:2" ht="15.75" customHeight="1">
      <c r="A147" s="73" t="s">
        <v>1346</v>
      </c>
      <c r="B147" s="73" t="s">
        <v>1347</v>
      </c>
    </row>
    <row r="148" spans="1:2" ht="15.75" customHeight="1">
      <c r="A148" s="73" t="s">
        <v>1348</v>
      </c>
      <c r="B148" s="73" t="s">
        <v>1349</v>
      </c>
    </row>
    <row r="149" spans="1:2" ht="15.75" customHeight="1">
      <c r="A149" s="73" t="s">
        <v>1350</v>
      </c>
      <c r="B149" s="73" t="s">
        <v>1351</v>
      </c>
    </row>
    <row r="150" spans="1:2" ht="15.75" customHeight="1">
      <c r="A150" s="73" t="s">
        <v>1352</v>
      </c>
      <c r="B150" s="73" t="s">
        <v>1353</v>
      </c>
    </row>
    <row r="151" spans="1:2" ht="15.75" customHeight="1">
      <c r="A151" s="73" t="s">
        <v>1354</v>
      </c>
      <c r="B151" s="73" t="s">
        <v>1355</v>
      </c>
    </row>
    <row r="152" spans="1:2" ht="15.75" customHeight="1">
      <c r="A152" s="73" t="s">
        <v>1356</v>
      </c>
      <c r="B152" s="73" t="s">
        <v>1357</v>
      </c>
    </row>
    <row r="153" spans="1:2" ht="15.75" customHeight="1">
      <c r="A153" s="73" t="s">
        <v>1358</v>
      </c>
      <c r="B153" s="73" t="s">
        <v>1359</v>
      </c>
    </row>
    <row r="154" spans="1:2" ht="15.75" customHeight="1">
      <c r="A154" s="73" t="s">
        <v>1360</v>
      </c>
      <c r="B154" s="73" t="s">
        <v>1361</v>
      </c>
    </row>
    <row r="155" spans="1:2" ht="15.75" customHeight="1">
      <c r="A155" s="73" t="s">
        <v>1362</v>
      </c>
      <c r="B155" s="73" t="s">
        <v>1363</v>
      </c>
    </row>
    <row r="156" spans="1:2" ht="15.75" customHeight="1">
      <c r="A156" s="73" t="s">
        <v>1364</v>
      </c>
      <c r="B156" s="73" t="s">
        <v>1365</v>
      </c>
    </row>
    <row r="157" spans="1:2" ht="15.75" customHeight="1">
      <c r="A157" s="73" t="s">
        <v>1366</v>
      </c>
      <c r="B157" s="73" t="s">
        <v>1367</v>
      </c>
    </row>
    <row r="158" spans="1:2" ht="15.75" customHeight="1">
      <c r="A158" s="73" t="s">
        <v>1368</v>
      </c>
      <c r="B158" s="73" t="s">
        <v>1369</v>
      </c>
    </row>
    <row r="159" spans="1:2" ht="15.75" customHeight="1">
      <c r="A159" s="73" t="s">
        <v>1370</v>
      </c>
      <c r="B159" s="73" t="s">
        <v>1371</v>
      </c>
    </row>
    <row r="160" spans="1:2" ht="15.75" customHeight="1">
      <c r="A160" s="73" t="s">
        <v>1372</v>
      </c>
      <c r="B160" s="73" t="s">
        <v>1373</v>
      </c>
    </row>
    <row r="161" spans="1:2" ht="15.75" customHeight="1">
      <c r="A161" s="73" t="s">
        <v>1374</v>
      </c>
      <c r="B161" s="73" t="s">
        <v>1375</v>
      </c>
    </row>
    <row r="162" spans="1:2" ht="15.75" customHeight="1">
      <c r="A162" s="73" t="s">
        <v>1376</v>
      </c>
      <c r="B162" s="73" t="s">
        <v>1377</v>
      </c>
    </row>
    <row r="163" spans="1:2" ht="15.75" customHeight="1">
      <c r="A163" s="73" t="s">
        <v>1378</v>
      </c>
      <c r="B163" s="73" t="s">
        <v>1379</v>
      </c>
    </row>
    <row r="164" spans="1:2" ht="15.75" customHeight="1">
      <c r="A164" s="73" t="s">
        <v>1380</v>
      </c>
      <c r="B164" s="73" t="s">
        <v>1381</v>
      </c>
    </row>
    <row r="165" spans="1:2" ht="15.75" customHeight="1">
      <c r="A165" s="73" t="s">
        <v>1382</v>
      </c>
      <c r="B165" s="73" t="s">
        <v>1383</v>
      </c>
    </row>
    <row r="166" spans="1:2" ht="15.75" customHeight="1">
      <c r="A166" s="73" t="s">
        <v>1384</v>
      </c>
      <c r="B166" s="73" t="s">
        <v>1385</v>
      </c>
    </row>
    <row r="167" spans="1:2" ht="15.75" customHeight="1">
      <c r="A167" s="73" t="s">
        <v>1386</v>
      </c>
      <c r="B167" s="73" t="s">
        <v>1387</v>
      </c>
    </row>
    <row r="168" spans="1:2" ht="15.75" customHeight="1">
      <c r="A168" s="73" t="s">
        <v>1388</v>
      </c>
      <c r="B168" s="73" t="s">
        <v>1389</v>
      </c>
    </row>
    <row r="169" spans="1:2" ht="15.75" customHeight="1">
      <c r="A169" s="73" t="s">
        <v>1390</v>
      </c>
      <c r="B169" s="73" t="s">
        <v>1391</v>
      </c>
    </row>
    <row r="170" spans="1:2" ht="15.75" customHeight="1">
      <c r="A170" s="73" t="s">
        <v>1392</v>
      </c>
      <c r="B170" s="73" t="s">
        <v>1393</v>
      </c>
    </row>
    <row r="171" spans="1:2" ht="15.75" customHeight="1">
      <c r="A171" s="73" t="s">
        <v>1394</v>
      </c>
      <c r="B171" s="73" t="s">
        <v>1395</v>
      </c>
    </row>
    <row r="172" spans="1:2" ht="15.75" customHeight="1">
      <c r="A172" s="73" t="s">
        <v>1396</v>
      </c>
      <c r="B172" s="73" t="s">
        <v>1397</v>
      </c>
    </row>
    <row r="173" spans="1:2" ht="15.75" customHeight="1">
      <c r="A173" s="73" t="s">
        <v>1398</v>
      </c>
      <c r="B173" s="73" t="s">
        <v>1399</v>
      </c>
    </row>
    <row r="174" spans="1:2" ht="15.75" customHeight="1">
      <c r="A174" s="73" t="s">
        <v>1400</v>
      </c>
      <c r="B174" s="73" t="s">
        <v>1401</v>
      </c>
    </row>
    <row r="175" spans="1:2" ht="15.75" customHeight="1">
      <c r="A175" s="73" t="s">
        <v>1402</v>
      </c>
      <c r="B175" s="73" t="s">
        <v>1403</v>
      </c>
    </row>
    <row r="176" spans="1:2" ht="15.75" customHeight="1">
      <c r="A176" s="73" t="s">
        <v>1404</v>
      </c>
      <c r="B176" s="73" t="s">
        <v>1405</v>
      </c>
    </row>
    <row r="177" spans="1:2" ht="15.75" customHeight="1">
      <c r="A177" s="73" t="s">
        <v>1406</v>
      </c>
      <c r="B177" s="73" t="s">
        <v>1407</v>
      </c>
    </row>
    <row r="178" spans="1:2" ht="15.75" customHeight="1">
      <c r="A178" s="73" t="s">
        <v>1408</v>
      </c>
      <c r="B178" s="73" t="s">
        <v>1409</v>
      </c>
    </row>
    <row r="179" spans="1:2" ht="15.75" customHeight="1">
      <c r="A179" s="73" t="s">
        <v>1410</v>
      </c>
      <c r="B179" s="73" t="s">
        <v>1411</v>
      </c>
    </row>
    <row r="180" spans="1:2" ht="15.75" customHeight="1">
      <c r="A180" s="73" t="s">
        <v>1412</v>
      </c>
      <c r="B180" s="73" t="s">
        <v>1413</v>
      </c>
    </row>
    <row r="181" spans="1:2" ht="15.75" customHeight="1">
      <c r="A181" s="73" t="s">
        <v>1414</v>
      </c>
      <c r="B181" s="73" t="s">
        <v>1415</v>
      </c>
    </row>
    <row r="182" spans="1:2" ht="15.75" customHeight="1">
      <c r="A182" s="73" t="s">
        <v>1416</v>
      </c>
      <c r="B182" s="73" t="s">
        <v>1417</v>
      </c>
    </row>
    <row r="183" spans="1:2" ht="15.75" customHeight="1">
      <c r="A183" s="73" t="s">
        <v>1418</v>
      </c>
      <c r="B183" s="73" t="s">
        <v>1419</v>
      </c>
    </row>
    <row r="184" spans="1:2" ht="15.75" customHeight="1">
      <c r="A184" s="73" t="s">
        <v>1420</v>
      </c>
      <c r="B184" s="73" t="s">
        <v>1421</v>
      </c>
    </row>
    <row r="185" spans="1:2" ht="15.75" customHeight="1">
      <c r="A185" s="73" t="s">
        <v>1422</v>
      </c>
      <c r="B185" s="73" t="s">
        <v>1423</v>
      </c>
    </row>
    <row r="186" spans="1:2" ht="15.75" customHeight="1">
      <c r="A186" s="73" t="s">
        <v>1424</v>
      </c>
      <c r="B186" s="73" t="s">
        <v>1425</v>
      </c>
    </row>
    <row r="187" spans="1:2" ht="15.75" customHeight="1">
      <c r="A187" s="73" t="s">
        <v>1426</v>
      </c>
      <c r="B187" s="73" t="s">
        <v>1427</v>
      </c>
    </row>
    <row r="188" spans="1:2" ht="15.75" customHeight="1">
      <c r="A188" s="73" t="s">
        <v>1428</v>
      </c>
      <c r="B188" s="73" t="s">
        <v>1429</v>
      </c>
    </row>
    <row r="189" spans="1:2" ht="15.75" customHeight="1">
      <c r="A189" s="73" t="s">
        <v>1430</v>
      </c>
      <c r="B189" s="73" t="s">
        <v>1431</v>
      </c>
    </row>
    <row r="190" spans="1:2" ht="15.75" customHeight="1">
      <c r="A190" s="73" t="s">
        <v>1432</v>
      </c>
      <c r="B190" s="73" t="s">
        <v>1433</v>
      </c>
    </row>
    <row r="191" spans="1:2" ht="15.75" customHeight="1">
      <c r="A191" s="73" t="s">
        <v>1434</v>
      </c>
      <c r="B191" s="73" t="s">
        <v>1435</v>
      </c>
    </row>
    <row r="192" spans="1:2" ht="15.75" customHeight="1">
      <c r="A192" s="73" t="s">
        <v>1436</v>
      </c>
      <c r="B192" s="73" t="s">
        <v>1437</v>
      </c>
    </row>
    <row r="193" spans="1:2" ht="15.75" customHeight="1">
      <c r="A193" s="73" t="s">
        <v>1438</v>
      </c>
      <c r="B193" s="73" t="s">
        <v>1439</v>
      </c>
    </row>
    <row r="194" spans="1:2" ht="15.75" customHeight="1">
      <c r="A194" s="73" t="s">
        <v>1440</v>
      </c>
      <c r="B194" s="73" t="s">
        <v>1441</v>
      </c>
    </row>
    <row r="195" spans="1:2" ht="15.75" customHeight="1">
      <c r="A195" s="73" t="s">
        <v>1442</v>
      </c>
      <c r="B195" s="73" t="s">
        <v>1443</v>
      </c>
    </row>
    <row r="196" spans="1:2" ht="15.75" customHeight="1">
      <c r="A196" s="73" t="s">
        <v>1444</v>
      </c>
      <c r="B196" s="73" t="s">
        <v>1445</v>
      </c>
    </row>
    <row r="197" spans="1:2" ht="15.75" customHeight="1">
      <c r="A197" s="73" t="s">
        <v>1446</v>
      </c>
      <c r="B197" s="73" t="s">
        <v>1447</v>
      </c>
    </row>
    <row r="198" spans="1:2" ht="15.75" customHeight="1">
      <c r="A198" s="73" t="s">
        <v>1448</v>
      </c>
      <c r="B198" s="73" t="s">
        <v>1449</v>
      </c>
    </row>
    <row r="199" spans="1:2" ht="15.75" customHeight="1">
      <c r="A199" s="73" t="s">
        <v>1450</v>
      </c>
      <c r="B199" s="73" t="s">
        <v>1451</v>
      </c>
    </row>
    <row r="200" spans="1:2" ht="15.75" customHeight="1">
      <c r="A200" s="73" t="s">
        <v>1452</v>
      </c>
      <c r="B200" s="73" t="s">
        <v>1453</v>
      </c>
    </row>
    <row r="201" spans="1:2" ht="15.75" customHeight="1">
      <c r="A201" s="73" t="s">
        <v>1454</v>
      </c>
      <c r="B201" s="73" t="s">
        <v>1455</v>
      </c>
    </row>
    <row r="202" spans="1:2" ht="15.75" customHeight="1">
      <c r="A202" s="73" t="s">
        <v>1456</v>
      </c>
      <c r="B202" s="73" t="s">
        <v>1457</v>
      </c>
    </row>
    <row r="203" spans="1:2" ht="15.75" customHeight="1">
      <c r="A203" s="73" t="s">
        <v>1458</v>
      </c>
      <c r="B203" s="73" t="s">
        <v>1459</v>
      </c>
    </row>
    <row r="204" spans="1:2" ht="15.75" customHeight="1">
      <c r="A204" s="73" t="s">
        <v>1460</v>
      </c>
      <c r="B204" s="73" t="s">
        <v>1461</v>
      </c>
    </row>
    <row r="205" spans="1:2" ht="15.75" customHeight="1">
      <c r="A205" s="73" t="s">
        <v>1462</v>
      </c>
      <c r="B205" s="73" t="s">
        <v>1463</v>
      </c>
    </row>
    <row r="206" spans="1:2" ht="15.75" customHeight="1">
      <c r="A206" s="73" t="s">
        <v>1464</v>
      </c>
      <c r="B206" s="73" t="s">
        <v>1465</v>
      </c>
    </row>
    <row r="207" spans="1:2" ht="15.75" customHeight="1">
      <c r="A207" s="73" t="s">
        <v>1466</v>
      </c>
      <c r="B207" s="73" t="s">
        <v>1467</v>
      </c>
    </row>
    <row r="208" spans="1:2" ht="15.75" customHeight="1">
      <c r="A208" s="73" t="s">
        <v>1468</v>
      </c>
      <c r="B208" s="73" t="s">
        <v>1469</v>
      </c>
    </row>
    <row r="209" spans="1:2" ht="15.75" customHeight="1">
      <c r="A209" s="73" t="s">
        <v>1470</v>
      </c>
      <c r="B209" s="73" t="s">
        <v>1471</v>
      </c>
    </row>
    <row r="210" spans="1:2" ht="15.75" customHeight="1">
      <c r="A210" s="73" t="s">
        <v>1472</v>
      </c>
      <c r="B210" s="73" t="s">
        <v>1473</v>
      </c>
    </row>
    <row r="211" spans="1:2" ht="15.75" customHeight="1">
      <c r="A211" s="73" t="s">
        <v>1474</v>
      </c>
      <c r="B211" s="73" t="s">
        <v>1475</v>
      </c>
    </row>
    <row r="212" spans="1:2" ht="15.75" customHeight="1">
      <c r="A212" s="73" t="s">
        <v>1476</v>
      </c>
      <c r="B212" s="73" t="s">
        <v>1477</v>
      </c>
    </row>
    <row r="213" spans="1:2" ht="15.75" customHeight="1">
      <c r="A213" s="73" t="s">
        <v>1478</v>
      </c>
      <c r="B213" s="73" t="s">
        <v>1479</v>
      </c>
    </row>
    <row r="214" spans="1:2" ht="15.75" customHeight="1">
      <c r="A214" s="73" t="s">
        <v>1480</v>
      </c>
      <c r="B214" s="73" t="s">
        <v>1481</v>
      </c>
    </row>
    <row r="215" spans="1:2" ht="15.75" customHeight="1">
      <c r="A215" s="73" t="s">
        <v>1482</v>
      </c>
      <c r="B215" s="73" t="s">
        <v>1483</v>
      </c>
    </row>
    <row r="216" spans="1:2" ht="15.75" customHeight="1">
      <c r="A216" s="73" t="s">
        <v>1484</v>
      </c>
      <c r="B216" s="73" t="s">
        <v>1485</v>
      </c>
    </row>
    <row r="217" spans="1:2" ht="15.75" customHeight="1">
      <c r="A217" s="73" t="s">
        <v>1486</v>
      </c>
      <c r="B217" s="73" t="s">
        <v>1487</v>
      </c>
    </row>
    <row r="218" spans="1:2" ht="15.75" customHeight="1">
      <c r="A218" s="73" t="s">
        <v>1488</v>
      </c>
      <c r="B218" s="73" t="s">
        <v>1489</v>
      </c>
    </row>
    <row r="219" spans="1:2" ht="15.75" customHeight="1">
      <c r="A219" s="73" t="s">
        <v>1490</v>
      </c>
      <c r="B219" s="73" t="s">
        <v>1491</v>
      </c>
    </row>
    <row r="220" spans="1:2" ht="15.75" customHeight="1">
      <c r="A220" s="73" t="s">
        <v>1492</v>
      </c>
      <c r="B220" s="73" t="s">
        <v>1493</v>
      </c>
    </row>
    <row r="221" spans="1:2" ht="15.75" customHeight="1">
      <c r="A221" s="73" t="s">
        <v>1494</v>
      </c>
      <c r="B221" s="73" t="s">
        <v>1495</v>
      </c>
    </row>
    <row r="222" spans="1:2" ht="15.75" customHeight="1">
      <c r="A222" s="73" t="s">
        <v>1496</v>
      </c>
      <c r="B222" s="73" t="s">
        <v>1497</v>
      </c>
    </row>
    <row r="223" spans="1:2" ht="15.75" customHeight="1">
      <c r="A223" s="73" t="s">
        <v>1498</v>
      </c>
      <c r="B223" s="73" t="s">
        <v>1499</v>
      </c>
    </row>
    <row r="224" spans="1:2" ht="15.75" customHeight="1">
      <c r="A224" s="73" t="s">
        <v>412</v>
      </c>
      <c r="B224" s="73" t="s">
        <v>1500</v>
      </c>
    </row>
    <row r="225" spans="1:2" ht="15.75" customHeight="1">
      <c r="A225" s="73" t="s">
        <v>1501</v>
      </c>
      <c r="B225" s="73" t="s">
        <v>1502</v>
      </c>
    </row>
    <row r="226" spans="1:2" ht="15.75" customHeight="1">
      <c r="A226" s="73" t="s">
        <v>1503</v>
      </c>
      <c r="B226" s="73" t="s">
        <v>1504</v>
      </c>
    </row>
    <row r="227" spans="1:2" ht="15.75" customHeight="1">
      <c r="A227" s="73" t="s">
        <v>1505</v>
      </c>
      <c r="B227" s="73" t="s">
        <v>1506</v>
      </c>
    </row>
    <row r="228" spans="1:2" ht="15.75" customHeight="1">
      <c r="A228" s="73" t="s">
        <v>1507</v>
      </c>
      <c r="B228" s="73" t="s">
        <v>1508</v>
      </c>
    </row>
    <row r="229" spans="1:2" ht="15.75" customHeight="1">
      <c r="A229" s="73" t="s">
        <v>1509</v>
      </c>
      <c r="B229" s="73" t="s">
        <v>1510</v>
      </c>
    </row>
    <row r="230" spans="1:2" ht="15.75" customHeight="1">
      <c r="A230" s="73" t="s">
        <v>1511</v>
      </c>
      <c r="B230" s="73" t="s">
        <v>1512</v>
      </c>
    </row>
    <row r="231" spans="1:2" ht="15.75" customHeight="1">
      <c r="A231" s="73" t="s">
        <v>1513</v>
      </c>
      <c r="B231" s="73" t="s">
        <v>1514</v>
      </c>
    </row>
    <row r="232" spans="1:2" ht="15.75" customHeight="1">
      <c r="A232" s="73" t="s">
        <v>1515</v>
      </c>
      <c r="B232" s="73" t="s">
        <v>1516</v>
      </c>
    </row>
    <row r="233" spans="1:2" ht="15.75" customHeight="1">
      <c r="A233" s="73" t="s">
        <v>1517</v>
      </c>
      <c r="B233" s="73" t="s">
        <v>1518</v>
      </c>
    </row>
    <row r="234" spans="1:2" ht="15.75" customHeight="1">
      <c r="A234" s="73" t="s">
        <v>1519</v>
      </c>
      <c r="B234" s="73" t="s">
        <v>1520</v>
      </c>
    </row>
    <row r="235" spans="1:2" ht="15.75" customHeight="1">
      <c r="A235" s="73" t="s">
        <v>1521</v>
      </c>
      <c r="B235" s="73" t="s">
        <v>1522</v>
      </c>
    </row>
    <row r="236" spans="1:2" ht="15.75" customHeight="1">
      <c r="A236" s="73" t="s">
        <v>1523</v>
      </c>
      <c r="B236" s="73" t="s">
        <v>1524</v>
      </c>
    </row>
    <row r="237" spans="1:2" ht="15.75" customHeight="1">
      <c r="A237" s="73" t="s">
        <v>1525</v>
      </c>
      <c r="B237" s="73" t="s">
        <v>1526</v>
      </c>
    </row>
    <row r="238" spans="1:2" ht="15.75" customHeight="1">
      <c r="A238" s="73" t="s">
        <v>1527</v>
      </c>
      <c r="B238" s="73" t="s">
        <v>1528</v>
      </c>
    </row>
    <row r="239" spans="1:2" ht="15.75" customHeight="1">
      <c r="A239" s="73" t="s">
        <v>1529</v>
      </c>
      <c r="B239" s="73" t="s">
        <v>1530</v>
      </c>
    </row>
    <row r="240" spans="1:2" ht="15.75" customHeight="1">
      <c r="A240" s="73" t="s">
        <v>1531</v>
      </c>
      <c r="B240" s="73" t="s">
        <v>1532</v>
      </c>
    </row>
    <row r="241" spans="1:2" ht="15.75" customHeight="1">
      <c r="A241" s="73" t="s">
        <v>1533</v>
      </c>
      <c r="B241" s="73" t="s">
        <v>1534</v>
      </c>
    </row>
    <row r="242" spans="1:2" ht="15.75" customHeight="1">
      <c r="A242" s="73" t="s">
        <v>1535</v>
      </c>
      <c r="B242" s="73" t="s">
        <v>1536</v>
      </c>
    </row>
    <row r="243" spans="1:2" ht="15.75" customHeight="1">
      <c r="A243" s="73" t="s">
        <v>1537</v>
      </c>
      <c r="B243" s="73" t="s">
        <v>1538</v>
      </c>
    </row>
    <row r="244" spans="1:2" ht="15.75" customHeight="1">
      <c r="A244" s="73" t="s">
        <v>1539</v>
      </c>
      <c r="B244" s="73" t="s">
        <v>1540</v>
      </c>
    </row>
    <row r="245" spans="1:2" ht="15.75" customHeight="1">
      <c r="A245" s="73" t="s">
        <v>1541</v>
      </c>
      <c r="B245" s="73" t="s">
        <v>1542</v>
      </c>
    </row>
    <row r="246" spans="1:2" ht="15.75" customHeight="1">
      <c r="A246" s="73" t="s">
        <v>1543</v>
      </c>
      <c r="B246" s="73" t="s">
        <v>1544</v>
      </c>
    </row>
    <row r="247" spans="1:2" ht="15.75" customHeight="1">
      <c r="A247" s="73" t="s">
        <v>1545</v>
      </c>
      <c r="B247" s="73" t="s">
        <v>1546</v>
      </c>
    </row>
    <row r="248" spans="1:2" ht="15.75" customHeight="1">
      <c r="A248" s="73" t="s">
        <v>1547</v>
      </c>
      <c r="B248" s="73" t="s">
        <v>1548</v>
      </c>
    </row>
    <row r="249" spans="1:2" ht="15.75" customHeight="1">
      <c r="A249" s="73" t="s">
        <v>1549</v>
      </c>
      <c r="B249" s="73" t="s">
        <v>1550</v>
      </c>
    </row>
    <row r="250" spans="1:2" ht="15.75" customHeight="1">
      <c r="A250" s="73" t="s">
        <v>1551</v>
      </c>
      <c r="B250" s="73" t="s">
        <v>1552</v>
      </c>
    </row>
    <row r="251" spans="1:2" ht="15.75" customHeight="1"/>
    <row r="252" spans="1:2" ht="15.75" customHeight="1"/>
    <row r="253" spans="1:2" ht="15.75" customHeight="1"/>
    <row r="254" spans="1:2" ht="15.75" customHeight="1"/>
    <row r="255" spans="1:2" ht="15.75" customHeight="1"/>
    <row r="256" spans="1:2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00"/>
  <sheetViews>
    <sheetView workbookViewId="0"/>
  </sheetViews>
  <sheetFormatPr defaultColWidth="12.5546875" defaultRowHeight="15" customHeight="1"/>
  <cols>
    <col min="1" max="1" width="3.44140625" style="72" customWidth="1"/>
    <col min="2" max="2" width="32.5546875" style="72" customWidth="1"/>
    <col min="3" max="6" width="12.5546875" style="72" customWidth="1"/>
    <col min="7" max="16384" width="12.5546875" style="72"/>
  </cols>
  <sheetData>
    <row r="1" spans="1:2" ht="15.75" customHeight="1">
      <c r="A1" s="70" t="s">
        <v>483</v>
      </c>
      <c r="B1" s="82" t="s">
        <v>984</v>
      </c>
    </row>
    <row r="2" spans="1:2" ht="15.75" customHeight="1">
      <c r="A2" s="83">
        <v>1</v>
      </c>
      <c r="B2" s="84" t="s">
        <v>555</v>
      </c>
    </row>
    <row r="3" spans="1:2" ht="15.75" customHeight="1">
      <c r="A3" s="83">
        <v>2</v>
      </c>
      <c r="B3" s="84" t="s">
        <v>1665</v>
      </c>
    </row>
    <row r="4" spans="1:2" ht="15.75" customHeight="1">
      <c r="A4" s="83">
        <v>3</v>
      </c>
      <c r="B4" s="84" t="s">
        <v>184</v>
      </c>
    </row>
    <row r="5" spans="1:2" ht="15.75" customHeight="1">
      <c r="A5" s="83">
        <v>4</v>
      </c>
      <c r="B5" s="84" t="s">
        <v>183</v>
      </c>
    </row>
    <row r="6" spans="1:2" ht="15.75" customHeight="1">
      <c r="A6" s="83">
        <v>5</v>
      </c>
      <c r="B6" s="84" t="s">
        <v>642</v>
      </c>
    </row>
    <row r="7" spans="1:2" ht="15.75" customHeight="1">
      <c r="A7" s="83">
        <v>6</v>
      </c>
      <c r="B7" s="84" t="s">
        <v>1666</v>
      </c>
    </row>
    <row r="8" spans="1:2" ht="15.75" customHeight="1">
      <c r="A8" s="83">
        <v>7</v>
      </c>
      <c r="B8" s="84" t="s">
        <v>556</v>
      </c>
    </row>
    <row r="9" spans="1:2" ht="15.75" customHeight="1">
      <c r="A9" s="83">
        <v>8</v>
      </c>
      <c r="B9" s="84" t="s">
        <v>1667</v>
      </c>
    </row>
    <row r="10" spans="1:2" ht="15.75" customHeight="1">
      <c r="A10" s="83">
        <v>9</v>
      </c>
      <c r="B10" s="84" t="s">
        <v>1668</v>
      </c>
    </row>
    <row r="11" spans="1:2" ht="15.75" customHeight="1">
      <c r="A11" s="83">
        <v>10</v>
      </c>
      <c r="B11" s="84" t="s">
        <v>558</v>
      </c>
    </row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00"/>
  <sheetViews>
    <sheetView workbookViewId="0"/>
  </sheetViews>
  <sheetFormatPr defaultColWidth="12.5546875" defaultRowHeight="15" customHeight="1"/>
  <cols>
    <col min="1" max="6" width="12.5546875" style="72" customWidth="1"/>
    <col min="7" max="16384" width="12.5546875" style="72"/>
  </cols>
  <sheetData>
    <row r="1" spans="1:2" ht="15.75" customHeight="1">
      <c r="A1" s="70" t="s">
        <v>483</v>
      </c>
      <c r="B1" s="82" t="s">
        <v>984</v>
      </c>
    </row>
    <row r="2" spans="1:2" ht="15.75" customHeight="1">
      <c r="A2" s="83">
        <v>1</v>
      </c>
      <c r="B2" s="84" t="s">
        <v>1669</v>
      </c>
    </row>
    <row r="3" spans="1:2" ht="15.75" customHeight="1">
      <c r="A3" s="83">
        <v>2</v>
      </c>
      <c r="B3" s="84" t="s">
        <v>1670</v>
      </c>
    </row>
    <row r="4" spans="1:2" ht="15.75" customHeight="1">
      <c r="A4" s="83">
        <v>3</v>
      </c>
      <c r="B4" s="84" t="s">
        <v>1671</v>
      </c>
    </row>
    <row r="5" spans="1:2" ht="15.75" customHeight="1">
      <c r="A5" s="83">
        <v>4</v>
      </c>
      <c r="B5" s="84" t="s">
        <v>1672</v>
      </c>
    </row>
    <row r="6" spans="1:2" ht="15.75" customHeight="1">
      <c r="A6" s="83">
        <v>5</v>
      </c>
      <c r="B6" s="84" t="s">
        <v>1673</v>
      </c>
    </row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00"/>
  <sheetViews>
    <sheetView workbookViewId="0"/>
  </sheetViews>
  <sheetFormatPr defaultColWidth="12.5546875" defaultRowHeight="15" customHeight="1"/>
  <cols>
    <col min="1" max="1" width="6.88671875" style="72" customWidth="1"/>
    <col min="2" max="2" width="34.44140625" style="72" customWidth="1"/>
    <col min="3" max="6" width="12.5546875" style="72" customWidth="1"/>
    <col min="7" max="16384" width="12.5546875" style="72"/>
  </cols>
  <sheetData>
    <row r="1" spans="1:2" ht="15.75" customHeight="1">
      <c r="A1" s="70" t="s">
        <v>483</v>
      </c>
      <c r="B1" s="87" t="s">
        <v>984</v>
      </c>
    </row>
    <row r="2" spans="1:2" ht="15.75" customHeight="1">
      <c r="A2" s="73" t="s">
        <v>1679</v>
      </c>
      <c r="B2" s="73" t="s">
        <v>1706</v>
      </c>
    </row>
    <row r="3" spans="1:2" ht="15.75" customHeight="1">
      <c r="A3" s="73" t="s">
        <v>1680</v>
      </c>
      <c r="B3" s="73" t="s">
        <v>973</v>
      </c>
    </row>
    <row r="4" spans="1:2" ht="15.75" customHeight="1">
      <c r="A4" s="73" t="s">
        <v>1681</v>
      </c>
      <c r="B4" s="73" t="s">
        <v>1707</v>
      </c>
    </row>
    <row r="5" spans="1:2" ht="15.75" customHeight="1">
      <c r="A5" s="73" t="s">
        <v>1708</v>
      </c>
      <c r="B5" s="73" t="s">
        <v>1709</v>
      </c>
    </row>
    <row r="6" spans="1:2" ht="15.75" customHeight="1">
      <c r="A6" s="73" t="s">
        <v>11</v>
      </c>
      <c r="B6" s="73" t="s">
        <v>1710</v>
      </c>
    </row>
    <row r="7" spans="1:2" ht="15.75" customHeight="1">
      <c r="A7" s="73" t="s">
        <v>1711</v>
      </c>
      <c r="B7" s="73" t="s">
        <v>1712</v>
      </c>
    </row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workbookViewId="0">
      <selection activeCell="B31" sqref="B31"/>
    </sheetView>
  </sheetViews>
  <sheetFormatPr defaultColWidth="9.109375" defaultRowHeight="16.8"/>
  <cols>
    <col min="1" max="1" width="9.109375" style="3"/>
    <col min="2" max="2" width="101" style="1" customWidth="1"/>
    <col min="3" max="16384" width="9.109375" style="1"/>
  </cols>
  <sheetData>
    <row r="1" spans="1:2" s="3" customFormat="1">
      <c r="A1" s="85" t="s">
        <v>1682</v>
      </c>
      <c r="B1" s="85" t="s">
        <v>984</v>
      </c>
    </row>
    <row r="2" spans="1:2">
      <c r="A2" s="86">
        <v>1</v>
      </c>
      <c r="B2" s="76" t="s">
        <v>484</v>
      </c>
    </row>
    <row r="3" spans="1:2" ht="27.6">
      <c r="A3" s="86">
        <v>2</v>
      </c>
      <c r="B3" s="76" t="s">
        <v>1686</v>
      </c>
    </row>
    <row r="4" spans="1:2">
      <c r="A4" s="86">
        <v>3</v>
      </c>
      <c r="B4" s="76" t="s">
        <v>485</v>
      </c>
    </row>
    <row r="5" spans="1:2">
      <c r="A5" s="86">
        <v>4</v>
      </c>
      <c r="B5" s="76" t="s">
        <v>486</v>
      </c>
    </row>
    <row r="6" spans="1:2">
      <c r="A6" s="86">
        <v>5</v>
      </c>
      <c r="B6" s="76" t="s">
        <v>487</v>
      </c>
    </row>
    <row r="7" spans="1:2">
      <c r="A7" s="86">
        <v>6</v>
      </c>
      <c r="B7" s="76" t="s">
        <v>488</v>
      </c>
    </row>
    <row r="8" spans="1:2" ht="27.6">
      <c r="A8" s="86">
        <v>7</v>
      </c>
      <c r="B8" s="76" t="s">
        <v>1683</v>
      </c>
    </row>
    <row r="9" spans="1:2">
      <c r="A9" s="86">
        <v>8</v>
      </c>
      <c r="B9" s="76" t="s">
        <v>489</v>
      </c>
    </row>
    <row r="10" spans="1:2">
      <c r="A10" s="86">
        <v>9</v>
      </c>
      <c r="B10" s="76" t="s">
        <v>1684</v>
      </c>
    </row>
    <row r="11" spans="1:2">
      <c r="A11" s="86">
        <v>10</v>
      </c>
      <c r="B11" s="76" t="s">
        <v>1685</v>
      </c>
    </row>
    <row r="12" spans="1:2">
      <c r="A12" s="86">
        <v>11</v>
      </c>
      <c r="B12" s="76" t="s">
        <v>974</v>
      </c>
    </row>
    <row r="13" spans="1:2">
      <c r="A13" s="86">
        <v>12</v>
      </c>
      <c r="B13" s="76" t="s">
        <v>1687</v>
      </c>
    </row>
    <row r="14" spans="1:2">
      <c r="A14" s="86">
        <v>13</v>
      </c>
      <c r="B14" s="76" t="s">
        <v>976</v>
      </c>
    </row>
    <row r="15" spans="1:2">
      <c r="A15" s="86">
        <v>14</v>
      </c>
      <c r="B15" s="76" t="s">
        <v>1688</v>
      </c>
    </row>
    <row r="16" spans="1:2">
      <c r="A16" s="86">
        <v>15</v>
      </c>
      <c r="B16" s="76" t="s">
        <v>1689</v>
      </c>
    </row>
    <row r="17" spans="1:2">
      <c r="A17" s="86">
        <v>16</v>
      </c>
      <c r="B17" s="76" t="s">
        <v>1690</v>
      </c>
    </row>
    <row r="18" spans="1:2">
      <c r="A18" s="86">
        <v>17</v>
      </c>
      <c r="B18" s="76" t="s">
        <v>1691</v>
      </c>
    </row>
    <row r="19" spans="1:2">
      <c r="A19" s="86">
        <v>18</v>
      </c>
      <c r="B19" s="76" t="s">
        <v>1692</v>
      </c>
    </row>
    <row r="20" spans="1:2">
      <c r="A20" s="86">
        <v>19</v>
      </c>
      <c r="B20" s="76" t="s">
        <v>1693</v>
      </c>
    </row>
    <row r="21" spans="1:2">
      <c r="A21" s="86">
        <v>20</v>
      </c>
      <c r="B21" s="76" t="s">
        <v>975</v>
      </c>
    </row>
    <row r="22" spans="1:2">
      <c r="A22" s="86">
        <v>21</v>
      </c>
      <c r="B22" s="76" t="s">
        <v>1694</v>
      </c>
    </row>
    <row r="23" spans="1:2">
      <c r="A23" s="86">
        <v>22</v>
      </c>
      <c r="B23" s="76" t="s">
        <v>1695</v>
      </c>
    </row>
    <row r="24" spans="1:2">
      <c r="A24" s="86">
        <v>23</v>
      </c>
      <c r="B24" s="76" t="s">
        <v>1696</v>
      </c>
    </row>
    <row r="25" spans="1:2">
      <c r="A25" s="86">
        <v>24</v>
      </c>
      <c r="B25" s="76" t="s">
        <v>1697</v>
      </c>
    </row>
    <row r="26" spans="1:2">
      <c r="A26" s="86">
        <v>25</v>
      </c>
      <c r="B26" s="76" t="s">
        <v>1698</v>
      </c>
    </row>
    <row r="27" spans="1:2">
      <c r="A27" s="86">
        <v>26</v>
      </c>
      <c r="B27" s="76" t="s">
        <v>1699</v>
      </c>
    </row>
    <row r="28" spans="1:2">
      <c r="A28" s="86">
        <v>27</v>
      </c>
      <c r="B28" s="76" t="s">
        <v>1700</v>
      </c>
    </row>
    <row r="29" spans="1:2">
      <c r="A29" s="86">
        <v>28</v>
      </c>
      <c r="B29" s="76" t="s">
        <v>1701</v>
      </c>
    </row>
    <row r="30" spans="1:2">
      <c r="A30" s="86">
        <v>29</v>
      </c>
      <c r="B30" s="76" t="s">
        <v>1702</v>
      </c>
    </row>
    <row r="31" spans="1:2">
      <c r="A31" s="86">
        <v>30</v>
      </c>
      <c r="B31" s="76" t="s">
        <v>1703</v>
      </c>
    </row>
    <row r="32" spans="1:2">
      <c r="A32" s="86">
        <v>31</v>
      </c>
      <c r="B32" s="76" t="s">
        <v>1704</v>
      </c>
    </row>
    <row r="33" spans="1:2">
      <c r="A33" s="86">
        <v>32</v>
      </c>
      <c r="B33" s="76" t="s">
        <v>1705</v>
      </c>
    </row>
  </sheetData>
  <pageMargins left="0.7" right="0.7" top="0.75" bottom="0.75" header="0.3" footer="0.3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ColWidth="9.109375" defaultRowHeight="16.8"/>
  <cols>
    <col min="1" max="1" width="7.33203125" style="8" customWidth="1"/>
    <col min="2" max="2" width="28.88671875" style="2" bestFit="1" customWidth="1"/>
    <col min="3" max="16384" width="9.109375" style="2"/>
  </cols>
  <sheetData>
    <row r="1" spans="1:2">
      <c r="A1" s="4" t="s">
        <v>483</v>
      </c>
      <c r="B1" s="4" t="s">
        <v>746</v>
      </c>
    </row>
    <row r="2" spans="1:2">
      <c r="A2" s="6">
        <v>1</v>
      </c>
      <c r="B2" s="7" t="s">
        <v>492</v>
      </c>
    </row>
    <row r="3" spans="1:2">
      <c r="A3" s="6">
        <v>2</v>
      </c>
      <c r="B3" s="7" t="s">
        <v>493</v>
      </c>
    </row>
    <row r="4" spans="1:2">
      <c r="A4" s="6">
        <v>3</v>
      </c>
      <c r="B4" s="7" t="s">
        <v>494</v>
      </c>
    </row>
    <row r="5" spans="1:2">
      <c r="A5" s="6">
        <v>4</v>
      </c>
      <c r="B5" s="7" t="s">
        <v>495</v>
      </c>
    </row>
    <row r="6" spans="1:2">
      <c r="A6" s="6">
        <v>5</v>
      </c>
      <c r="B6" s="7" t="s">
        <v>496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B7" sqref="B7"/>
    </sheetView>
  </sheetViews>
  <sheetFormatPr defaultRowHeight="14.4"/>
  <cols>
    <col min="1" max="1" width="8.6640625" style="63" customWidth="1"/>
    <col min="2" max="2" width="77.6640625" customWidth="1"/>
    <col min="3" max="3" width="27.109375" bestFit="1" customWidth="1"/>
  </cols>
  <sheetData>
    <row r="1" spans="1:3" ht="17.399999999999999">
      <c r="A1" s="64" t="s">
        <v>483</v>
      </c>
      <c r="B1" s="64" t="s">
        <v>984</v>
      </c>
      <c r="C1" s="64" t="s">
        <v>1553</v>
      </c>
    </row>
    <row r="2" spans="1:3" ht="18">
      <c r="A2" s="65">
        <v>1</v>
      </c>
      <c r="B2" s="66" t="s">
        <v>425</v>
      </c>
      <c r="C2" s="66"/>
    </row>
    <row r="3" spans="1:3" ht="18">
      <c r="A3" s="65">
        <v>2</v>
      </c>
      <c r="B3" s="66" t="s">
        <v>426</v>
      </c>
      <c r="C3" s="66"/>
    </row>
    <row r="4" spans="1:3" ht="18">
      <c r="A4" s="65">
        <v>3</v>
      </c>
      <c r="B4" s="66" t="s">
        <v>428</v>
      </c>
      <c r="C4" s="66"/>
    </row>
    <row r="5" spans="1:3" ht="18">
      <c r="A5" s="65">
        <v>4</v>
      </c>
      <c r="B5" s="66" t="s">
        <v>427</v>
      </c>
      <c r="C5" s="66"/>
    </row>
    <row r="6" spans="1:3" ht="18">
      <c r="A6" s="65">
        <v>5</v>
      </c>
      <c r="B6" s="66" t="s">
        <v>429</v>
      </c>
      <c r="C6" s="66"/>
    </row>
    <row r="7" spans="1:3" ht="18">
      <c r="A7" s="65">
        <v>6</v>
      </c>
      <c r="B7" s="66" t="s">
        <v>424</v>
      </c>
      <c r="C7" s="66" t="s">
        <v>1651</v>
      </c>
    </row>
    <row r="8" spans="1:3" ht="18">
      <c r="A8" s="65">
        <v>7</v>
      </c>
      <c r="B8" s="66" t="s">
        <v>1052</v>
      </c>
      <c r="C8" s="66" t="s">
        <v>1652</v>
      </c>
    </row>
    <row r="9" spans="1:3" ht="18">
      <c r="A9" s="65">
        <v>8</v>
      </c>
      <c r="B9" s="66" t="s">
        <v>1053</v>
      </c>
      <c r="C9" s="66"/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B6" sqref="B6"/>
    </sheetView>
  </sheetViews>
  <sheetFormatPr defaultColWidth="9.109375" defaultRowHeight="16.8"/>
  <cols>
    <col min="1" max="1" width="9.5546875" style="3" customWidth="1"/>
    <col min="2" max="2" width="52.88671875" style="1" bestFit="1" customWidth="1"/>
    <col min="3" max="16384" width="9.109375" style="1"/>
  </cols>
  <sheetData>
    <row r="1" spans="1:2">
      <c r="A1" s="4" t="s">
        <v>745</v>
      </c>
      <c r="B1" s="5" t="s">
        <v>178</v>
      </c>
    </row>
    <row r="2" spans="1:2">
      <c r="A2" s="6">
        <v>1</v>
      </c>
      <c r="B2" s="7" t="s">
        <v>513</v>
      </c>
    </row>
    <row r="3" spans="1:2">
      <c r="A3" s="6">
        <v>2</v>
      </c>
      <c r="B3" s="7" t="s">
        <v>514</v>
      </c>
    </row>
    <row r="4" spans="1:2">
      <c r="A4" s="6">
        <v>3</v>
      </c>
      <c r="B4" s="7" t="s">
        <v>515</v>
      </c>
    </row>
    <row r="5" spans="1:2">
      <c r="A5" s="6">
        <v>4</v>
      </c>
      <c r="B5" s="7" t="s">
        <v>516</v>
      </c>
    </row>
    <row r="6" spans="1:2">
      <c r="A6" s="6">
        <v>5</v>
      </c>
      <c r="B6" s="7" t="s">
        <v>517</v>
      </c>
    </row>
    <row r="7" spans="1:2">
      <c r="A7" s="13"/>
      <c r="B7" s="14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1000"/>
  <sheetViews>
    <sheetView workbookViewId="0">
      <selection activeCell="B1" sqref="B1"/>
    </sheetView>
  </sheetViews>
  <sheetFormatPr defaultColWidth="12.5546875" defaultRowHeight="15" customHeight="1"/>
  <cols>
    <col min="1" max="1" width="3.44140625" style="72" customWidth="1"/>
    <col min="2" max="2" width="104.5546875" style="72" bestFit="1" customWidth="1"/>
    <col min="3" max="6" width="12.5546875" style="72" customWidth="1"/>
    <col min="7" max="16384" width="12.5546875" style="72"/>
  </cols>
  <sheetData>
    <row r="1" spans="1:2" ht="15.75" customHeight="1">
      <c r="A1" s="70" t="s">
        <v>483</v>
      </c>
      <c r="B1" s="70" t="s">
        <v>984</v>
      </c>
    </row>
    <row r="2" spans="1:2" ht="15.75" customHeight="1">
      <c r="A2" s="73">
        <v>1</v>
      </c>
      <c r="B2" s="73" t="s">
        <v>1674</v>
      </c>
    </row>
    <row r="3" spans="1:2" ht="15.75" customHeight="1">
      <c r="A3" s="73">
        <v>2</v>
      </c>
      <c r="B3" s="73" t="s">
        <v>1675</v>
      </c>
    </row>
    <row r="4" spans="1:2" ht="15.75" customHeight="1">
      <c r="A4" s="73">
        <v>3</v>
      </c>
      <c r="B4" s="73" t="s">
        <v>1676</v>
      </c>
    </row>
    <row r="5" spans="1:2" ht="15.75" customHeight="1">
      <c r="A5" s="73">
        <v>4</v>
      </c>
      <c r="B5" s="73" t="s">
        <v>1677</v>
      </c>
    </row>
    <row r="6" spans="1:2" ht="15.75" customHeight="1">
      <c r="A6" s="73">
        <v>5</v>
      </c>
      <c r="B6" s="73" t="s">
        <v>1678</v>
      </c>
    </row>
    <row r="7" spans="1:2" ht="15.75" customHeight="1"/>
    <row r="8" spans="1:2" ht="15.75" customHeight="1"/>
    <row r="9" spans="1:2" ht="15.75" customHeight="1"/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6" sqref="B6"/>
    </sheetView>
  </sheetViews>
  <sheetFormatPr defaultRowHeight="14.4"/>
  <cols>
    <col min="1" max="1" width="9.109375" bestFit="1" customWidth="1"/>
    <col min="2" max="2" width="46" bestFit="1" customWidth="1"/>
  </cols>
  <sheetData>
    <row r="1" spans="1:2">
      <c r="A1" s="9" t="s">
        <v>745</v>
      </c>
      <c r="B1" s="9" t="s">
        <v>422</v>
      </c>
    </row>
    <row r="2" spans="1:2">
      <c r="A2" s="10">
        <v>1</v>
      </c>
      <c r="B2" s="11" t="s">
        <v>1019</v>
      </c>
    </row>
    <row r="3" spans="1:2">
      <c r="A3" s="10">
        <v>2</v>
      </c>
      <c r="B3" s="11" t="s">
        <v>1020</v>
      </c>
    </row>
    <row r="4" spans="1:2">
      <c r="A4" s="10">
        <v>3</v>
      </c>
      <c r="B4" s="12" t="s">
        <v>1021</v>
      </c>
    </row>
    <row r="5" spans="1:2">
      <c r="A5" s="10">
        <v>4</v>
      </c>
      <c r="B5" s="12" t="s">
        <v>1022</v>
      </c>
    </row>
    <row r="6" spans="1:2">
      <c r="A6" s="10">
        <v>5</v>
      </c>
      <c r="B6" s="12" t="s">
        <v>1023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/>
  </sheetViews>
  <sheetFormatPr defaultRowHeight="14.4"/>
  <cols>
    <col min="2" max="2" width="62.6640625" customWidth="1"/>
  </cols>
  <sheetData>
    <row r="1" spans="1:2">
      <c r="A1" s="9" t="s">
        <v>745</v>
      </c>
      <c r="B1" s="9" t="s">
        <v>30</v>
      </c>
    </row>
    <row r="2" spans="1:2">
      <c r="A2" s="10">
        <v>1</v>
      </c>
      <c r="B2" s="11" t="s">
        <v>643</v>
      </c>
    </row>
    <row r="3" spans="1:2">
      <c r="A3" s="10">
        <v>2</v>
      </c>
      <c r="B3" s="11" t="s">
        <v>644</v>
      </c>
    </row>
    <row r="4" spans="1:2">
      <c r="A4" s="10">
        <v>3</v>
      </c>
      <c r="B4" s="12" t="s">
        <v>645</v>
      </c>
    </row>
    <row r="5" spans="1:2">
      <c r="A5" s="10">
        <v>4</v>
      </c>
      <c r="B5" s="12" t="s">
        <v>646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Data</vt:lpstr>
      <vt:lpstr>Sheet1</vt:lpstr>
      <vt:lpstr>HuongDan</vt:lpstr>
      <vt:lpstr>TT DO DAC</vt:lpstr>
      <vt:lpstr>PhanLoaiThua</vt:lpstr>
      <vt:lpstr>DM_NguonGocSuDungDat</vt:lpstr>
      <vt:lpstr>DM_DoiTuongSuDungQuanLy</vt:lpstr>
      <vt:lpstr>DM_LoaiDat</vt:lpstr>
      <vt:lpstr>MaXa_3cap_2cap</vt:lpstr>
      <vt:lpstr>ChungCu_NhaTapThe</vt:lpstr>
      <vt:lpstr>DM_DanToc</vt:lpstr>
      <vt:lpstr>DM_QuocTich</vt:lpstr>
      <vt:lpstr>DM_LoaiTaiSan</vt:lpstr>
      <vt:lpstr>DM_LoaiCapHang</vt:lpstr>
      <vt:lpstr>DM_LoaiDoiTuong</vt:lpstr>
      <vt:lpstr>DM_LoaiGiayToTuyThan</vt:lpstr>
      <vt:lpstr>DM_LoaiBanDoDiaChinh</vt:lpstr>
      <vt:lpstr>DM_LoaiGiayChungNhan</vt:lpstr>
      <vt:lpstr>DM_LoaiTrangThaiDangKyCapGCN</vt:lpstr>
      <vt:lpstr>DM_LoaiThuaDat</vt:lpstr>
      <vt:lpstr>DM_LoaiNghiaVuTaiChinh</vt:lpstr>
      <vt:lpstr>LoaiHanChe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Ngô Văn Trang</dc:creator>
  <cp:lastModifiedBy>NAME</cp:lastModifiedBy>
  <cp:lastPrinted>2023-05-24T08:52:17Z</cp:lastPrinted>
  <dcterms:created xsi:type="dcterms:W3CDTF">2020-01-07T14:51:34Z</dcterms:created>
  <dcterms:modified xsi:type="dcterms:W3CDTF">2026-08-05T10:34:05Z</dcterms:modified>
</cp:coreProperties>
</file>